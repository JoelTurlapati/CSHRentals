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1" l="1"/>
</calcChain>
</file>

<file path=xl/sharedStrings.xml><?xml version="1.0" encoding="utf-8"?>
<sst xmlns="http://schemas.openxmlformats.org/spreadsheetml/2006/main" count="38" uniqueCount="38">
  <si>
    <t>SAL Investment Properties</t>
  </si>
  <si>
    <t>Profit and Loss by Class</t>
  </si>
  <si>
    <t>January-December, 2025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</si>
  <si>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</si>
  <si>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</si>
  <si>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</si>
  <si>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</si>
  <si>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</si>
  <si>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</si>
  <si>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</si>
  <si>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</si>
  <si>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</si>
  <si>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</si>
  <si>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Lawncare</t>
  </si>
  <si>
    <t>Pest Control</t>
  </si>
  <si>
    <t>Repair &amp; Maintenance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</si>
  <si>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</si>
  <si>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</si>
  <si>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</si>
  <si>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</si>
  <si>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</si>
  <si>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</si>
  <si>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</si>
  <si>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</si>
  <si>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1430 19th st</t>
  </si>
  <si>
    <t>1708 18th st</t>
  </si>
  <si>
    <t>1734 Woodland</t>
  </si>
  <si>
    <t>1919 Frazer</t>
  </si>
  <si>
    <t>2007 kirk Ct</t>
  </si>
  <si>
    <t>2211 myrtle</t>
  </si>
  <si>
    <t>519 21st st</t>
  </si>
  <si>
    <t>523 21st St NW</t>
  </si>
  <si>
    <t>725 22nd St</t>
  </si>
  <si>
    <t>800 22nd St NW</t>
  </si>
  <si>
    <t>806 23rd St</t>
  </si>
  <si>
    <t>818 25th St.</t>
  </si>
  <si>
    <t>Total</t>
  </si>
  <si>
    <t>Accrual Basis Tuesday, June 09, 2026 04:41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</si>
</sst>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29"/>
  <sheetViews>
    <sheetView tabSelected="1" workbookViewId="0" topLeftCell="A1"/>
  </sheetViews>
  <sheetFormatPr defaultColWidth="11.255" defaultRowHeight="16"/>
  <cols>
    <col min="1" max="1" width="20.375" style="36" customWidth="1"/>
    <col min="2" max="2" width="11" style="36" customWidth="1"/>
    <col min="3" max="3" width="16.125" style="36" customWidth="1"/>
    <col min="4" max="4" width="11.75" style="36" customWidth="1"/>
    <col min="5" max="5" width="15.25" style="36" customWidth="1"/>
    <col min="6" max="6" width="16.125" style="36" customWidth="1"/>
    <col min="7" max="7" width="10.125" style="36" customWidth="1"/>
    <col min="8" max="8" width="16.125" style="36" customWidth="1"/>
    <col min="9" max="9" width="12.625" style="36" customWidth="1"/>
    <col min="10" max="10" width="10.125" style="36" customWidth="1"/>
    <col min="11" max="11" width="12.625" style="36" customWidth="1"/>
    <col min="12" max="12" width="10.125" style="36" customWidth="1"/>
    <col min="13" max="13" width="11" style="36" customWidth="1"/>
    <col min="14" max="14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14" ht="16">
      <c r="A5" s="38" t="s">
        <v>23</v>
      </c>
      <c r="B5" s="42" t="s">
        <v>24</v>
      </c>
      <c r="C5" s="42" t="s">
        <v>25</v>
      </c>
      <c r="D5" s="42" t="s">
        <v>26</v>
      </c>
      <c r="E5" s="42" t="s">
        <v>27</v>
      </c>
      <c r="F5" s="42" t="s">
        <v>28</v>
      </c>
      <c r="G5" s="42" t="s">
        <v>29</v>
      </c>
      <c r="H5" s="42" t="s">
        <v>30</v>
      </c>
      <c r="I5" s="42" t="s">
        <v>31</v>
      </c>
      <c r="J5" s="42" t="s">
        <v>32</v>
      </c>
      <c r="K5" s="42" t="s">
        <v>33</v>
      </c>
      <c r="L5" s="42" t="s">
        <v>34</v>
      </c>
      <c r="M5" s="42" t="s">
        <v>35</v>
      </c>
      <c r="N5" s="42" t="s">
        <v>36</v>
      </c>
    </row>
    <row r="6" spans="1:13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4" ht="16">
      <c r="A7" s="32" t="s">
        <v>4</v>
      </c>
      <c r="B7" s="40">
        <v>16120.0</v>
      </c>
      <c r="C7" s="40">
        <v>13000.0</v>
      </c>
      <c r="D7" s="40">
        <v>12100.0</v>
      </c>
      <c r="E7" s="40">
        <v>11720.0</v>
      </c>
      <c r="F7" s="40">
        <v>13500.0</v>
      </c>
      <c r="G7" s="40">
        <v>1250.0</v>
      </c>
      <c r="H7" s="40">
        <v>16620.0</v>
      </c>
      <c r="I7" s="40">
        <v>13200.0</v>
      </c>
      <c r="J7" s="39"/>
      <c r="K7" s="40">
        <v>0</v>
      </c>
      <c r="L7" s="40">
        <v>2400.0</v>
      </c>
      <c r="M7" s="40">
        <v>15000.0</v>
      </c>
      <c r="N7" s="40">
        <f>B7+C7+D7+E7+F7+G7+H7+I7+J7+K7+L7+M7</f>
        <v>114910.0</v>
      </c>
    </row>
    <row r="8" spans="1:14" ht="16">
      <c r="A8" s="33" t="s">
        <v>5</v>
      </c>
      <c r="B8" s="39"/>
      <c r="C8" s="40">
        <v>0</v>
      </c>
      <c r="D8" s="40">
        <v>150.0</v>
      </c>
      <c r="E8" s="39"/>
      <c r="F8" s="39"/>
      <c r="G8" s="40">
        <v>2500.0</v>
      </c>
      <c r="H8" s="39"/>
      <c r="I8" s="40">
        <v>60.0</v>
      </c>
      <c r="J8" s="40">
        <v>1350.0</v>
      </c>
      <c r="K8" s="40">
        <v>380.0</v>
      </c>
      <c r="L8" s="40">
        <v>500.0</v>
      </c>
      <c r="M8" s="40">
        <v>1550.0</v>
      </c>
      <c r="N8" s="40">
        <f>B8+C8+D8+E8+F8+G8+H8+I8+J8+K8+L8+M8</f>
        <v>6490.0</v>
      </c>
    </row>
    <row r="9" spans="1:14" ht="16">
      <c r="A9" s="33" t="s">
        <v>6</v>
      </c>
      <c r="B9" s="39"/>
      <c r="C9" s="40">
        <v>1540.0</v>
      </c>
      <c r="D9" s="40">
        <v>0</v>
      </c>
      <c r="E9" s="40">
        <v>1640.0</v>
      </c>
      <c r="F9" s="39"/>
      <c r="G9" s="40">
        <v>11549.08</v>
      </c>
      <c r="H9" s="40">
        <v>0</v>
      </c>
      <c r="I9" s="40">
        <v>1200.4</v>
      </c>
      <c r="J9" s="40">
        <v>6865.0</v>
      </c>
      <c r="K9" s="40">
        <v>17400.0</v>
      </c>
      <c r="L9" s="40">
        <v>12000.0</v>
      </c>
      <c r="M9" s="40">
        <v>0</v>
      </c>
      <c r="N9" s="40">
        <f>B9+C9+D9+E9+F9+G9+H9+I9+J9+K9+L9+M9</f>
        <v>52194.479999999996</v>
      </c>
    </row>
    <row r="10" spans="1:14" ht="16">
      <c r="A10" s="33" t="s">
        <v>7</v>
      </c>
      <c r="B10" s="39"/>
      <c r="C10" s="40">
        <v>1100.0</v>
      </c>
      <c r="D10" s="39"/>
      <c r="E10" s="40">
        <v>1200.0</v>
      </c>
      <c r="F10" s="39"/>
      <c r="G10" s="40">
        <v>500.0</v>
      </c>
      <c r="H10" s="39"/>
      <c r="I10" s="39"/>
      <c r="J10" s="40">
        <v>1150.0</v>
      </c>
      <c r="K10" s="39"/>
      <c r="L10" s="39"/>
      <c r="M10" s="39"/>
      <c r="N10" s="40">
        <f>B10+C10+D10+E10+F10+G10+H10+I10+J10+K10+L10+M10</f>
        <v>3950.0</v>
      </c>
    </row>
    <row r="11" spans="1:14" ht="16">
      <c r="A11" s="34" t="s">
        <v>8</v>
      </c>
      <c r="B11" s="41">
        <f>B7+B8+B9+B10</f>
        <v>16120.0</v>
      </c>
      <c r="C11" s="41">
        <f>C7+C8+C9+C10</f>
        <v>15640.0</v>
      </c>
      <c r="D11" s="41">
        <f>D7+D8+D9+D10</f>
        <v>12250.0</v>
      </c>
      <c r="E11" s="41">
        <f>E7+E8+E9+E10</f>
        <v>14560.0</v>
      </c>
      <c r="F11" s="41">
        <f>F7+F8+F9+F10</f>
        <v>13500.0</v>
      </c>
      <c r="G11" s="41">
        <f>G7+G8+G9+G10</f>
        <v>15799.08</v>
      </c>
      <c r="H11" s="41">
        <f>H7+H8+H9+H10</f>
        <v>16620.0</v>
      </c>
      <c r="I11" s="41">
        <f>I7+I8+I9+I10</f>
        <v>14460.4</v>
      </c>
      <c r="J11" s="41">
        <f>J7+J8+J9+J10</f>
        <v>9365.0</v>
      </c>
      <c r="K11" s="41">
        <f>K7+K8+K9+K10</f>
        <v>17780.0</v>
      </c>
      <c r="L11" s="41">
        <f>L7+L8+L9+L10</f>
        <v>14900.0</v>
      </c>
      <c r="M11" s="41">
        <f>M7+M8+M9+M10</f>
        <v>16550.0</v>
      </c>
      <c r="N11" s="43">
        <f>B11+C11+D11+E11+F11+G11+H11+I11+J11+K11+L11+M11</f>
        <v>177544.47999999998</v>
      </c>
    </row>
    <row r="12" spans="1:14" ht="16">
      <c r="A12" s="35" t="s">
        <v>9</v>
      </c>
      <c r="B12" s="41">
        <f>B6+B11</f>
        <v>16120.0</v>
      </c>
      <c r="C12" s="41">
        <f>C6+C11</f>
        <v>15640.0</v>
      </c>
      <c r="D12" s="41">
        <f>D6+D11</f>
        <v>12250.0</v>
      </c>
      <c r="E12" s="41">
        <f>E6+E11</f>
        <v>14560.0</v>
      </c>
      <c r="F12" s="41">
        <f>F6+F11</f>
        <v>13500.0</v>
      </c>
      <c r="G12" s="41">
        <f>G6+G11</f>
        <v>15799.08</v>
      </c>
      <c r="H12" s="41">
        <f>H6+H11</f>
        <v>16620.0</v>
      </c>
      <c r="I12" s="41">
        <f>I6+I11</f>
        <v>14460.4</v>
      </c>
      <c r="J12" s="41">
        <f>J6+J11</f>
        <v>9365.0</v>
      </c>
      <c r="K12" s="41">
        <f>K6+K11</f>
        <v>17780.0</v>
      </c>
      <c r="L12" s="41">
        <f>L6+L11</f>
        <v>14900.0</v>
      </c>
      <c r="M12" s="41">
        <f>M6+M11</f>
        <v>16550.0</v>
      </c>
      <c r="N12" s="43">
        <f>B12+C12+D12+E12+F12+G12+H12+I12+J12+K12+L12+M12</f>
        <v>177544.47999999998</v>
      </c>
    </row>
    <row r="13" spans="1:14" ht="16">
      <c r="A13" s="35" t="s">
        <v>10</v>
      </c>
      <c r="B13" s="41">
        <f>B12-0</f>
        <v>16120.0</v>
      </c>
      <c r="C13" s="41">
        <f>C12-0</f>
        <v>15640.0</v>
      </c>
      <c r="D13" s="41">
        <f>D12-0</f>
        <v>12250.0</v>
      </c>
      <c r="E13" s="41">
        <f>E12-0</f>
        <v>14560.0</v>
      </c>
      <c r="F13" s="41">
        <f>F12-0</f>
        <v>13500.0</v>
      </c>
      <c r="G13" s="41">
        <f>G12-0</f>
        <v>15799.08</v>
      </c>
      <c r="H13" s="41">
        <f>H12-0</f>
        <v>16620.0</v>
      </c>
      <c r="I13" s="41">
        <f>I12-0</f>
        <v>14460.4</v>
      </c>
      <c r="J13" s="41">
        <f>J12-0</f>
        <v>9365.0</v>
      </c>
      <c r="K13" s="41">
        <f>K12-0</f>
        <v>17780.0</v>
      </c>
      <c r="L13" s="41">
        <f>L12-0</f>
        <v>14900.0</v>
      </c>
      <c r="M13" s="41">
        <f>M12-0</f>
        <v>16550.0</v>
      </c>
      <c r="N13" s="43">
        <f>B13+C13+D13+E13+F13+G13+H13+I13+J13+K13+L13+M13</f>
        <v>177544.47999999998</v>
      </c>
    </row>
    <row r="14" spans="1:13" ht="16">
      <c r="A14" s="31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4" ht="16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ht="16">
      <c r="A16" s="33" t="s">
        <v>13</v>
      </c>
      <c r="B16" s="39"/>
      <c r="C16" s="40">
        <v>325.0</v>
      </c>
      <c r="D16" s="39"/>
      <c r="E16" s="40">
        <v>375.0</v>
      </c>
      <c r="F16" s="39"/>
      <c r="G16" s="39"/>
      <c r="H16" s="39"/>
      <c r="I16" s="39"/>
      <c r="J16" s="40">
        <v>230.0</v>
      </c>
      <c r="K16" s="39"/>
      <c r="L16" s="39"/>
      <c r="M16" s="39"/>
      <c r="N16" s="40">
        <f>B16+C16+D16+E16+F16+G16+H16+I16+J16+K16+L16+M16</f>
        <v>930.0</v>
      </c>
    </row>
    <row r="17" spans="1:14" ht="16">
      <c r="A17" s="33" t="s">
        <v>14</v>
      </c>
      <c r="B17" s="39"/>
      <c r="C17" s="39"/>
      <c r="D17" s="39"/>
      <c r="E17" s="40">
        <v>138.45</v>
      </c>
      <c r="F17" s="39"/>
      <c r="G17" s="39"/>
      <c r="H17" s="39"/>
      <c r="I17" s="39"/>
      <c r="J17" s="39"/>
      <c r="K17" s="39"/>
      <c r="L17" s="39"/>
      <c r="M17" s="39"/>
      <c r="N17" s="40">
        <f>B17+C17+D17+E17+F17+G17+H17+I17+J17+K17+L17+M17</f>
        <v>138.45</v>
      </c>
    </row>
    <row r="18" spans="1:14" ht="16">
      <c r="A18" s="33" t="s">
        <v>15</v>
      </c>
      <c r="B18" s="39"/>
      <c r="C18" s="40">
        <v>300.0</v>
      </c>
      <c r="D18" s="40">
        <v>300.0</v>
      </c>
      <c r="E18" s="40">
        <v>1206.33</v>
      </c>
      <c r="F18" s="39"/>
      <c r="G18" s="40">
        <v>598.02</v>
      </c>
      <c r="H18" s="39"/>
      <c r="I18" s="40">
        <v>696.72</v>
      </c>
      <c r="J18" s="40">
        <v>581.52</v>
      </c>
      <c r="K18" s="39"/>
      <c r="L18" s="39"/>
      <c r="M18" s="39"/>
      <c r="N18" s="40">
        <f>B18+C18+D18+E18+F18+G18+H18+I18+J18+K18+L18+M18</f>
        <v>3682.5899999999997</v>
      </c>
    </row>
    <row r="19" spans="1:14" ht="16">
      <c r="A19" s="33" t="s">
        <v>16</v>
      </c>
      <c r="B19" s="39"/>
      <c r="C19" s="40">
        <v>1586.11</v>
      </c>
      <c r="D19" s="40">
        <v>475.74</v>
      </c>
      <c r="E19" s="40">
        <v>3067.92</v>
      </c>
      <c r="F19" s="40">
        <v>408.0</v>
      </c>
      <c r="G19" s="40">
        <v>437.0</v>
      </c>
      <c r="H19" s="40">
        <v>1734.32</v>
      </c>
      <c r="I19" s="40">
        <v>696.72</v>
      </c>
      <c r="J19" s="40">
        <v>3330.91</v>
      </c>
      <c r="K19" s="40">
        <v>3164.76</v>
      </c>
      <c r="L19" s="39"/>
      <c r="M19" s="40">
        <v>1137.0</v>
      </c>
      <c r="N19" s="40">
        <f>B19+C19+D19+E19+F19+G19+H19+I19+J19+K19+L19+M19</f>
        <v>16038.48</v>
      </c>
    </row>
    <row r="20" spans="1:14" ht="16">
      <c r="A20" s="33" t="s">
        <v>17</v>
      </c>
      <c r="B20" s="39"/>
      <c r="C20" s="40">
        <v>12.25</v>
      </c>
      <c r="D20" s="39"/>
      <c r="E20" s="39"/>
      <c r="F20" s="40">
        <v>38.97</v>
      </c>
      <c r="G20" s="39"/>
      <c r="H20" s="39"/>
      <c r="I20" s="39"/>
      <c r="J20" s="39"/>
      <c r="K20" s="39"/>
      <c r="L20" s="39"/>
      <c r="M20" s="39"/>
      <c r="N20" s="40">
        <f>B20+C20+D20+E20+F20+G20+H20+I20+J20+K20+L20+M20</f>
        <v>51.22</v>
      </c>
    </row>
    <row r="21" spans="1:14" ht="16">
      <c r="A21" s="33" t="s">
        <v>18</v>
      </c>
      <c r="B21" s="40">
        <v>1251.76</v>
      </c>
      <c r="C21" s="40">
        <v>1388.2</v>
      </c>
      <c r="D21" s="40">
        <v>1221.3</v>
      </c>
      <c r="E21" s="40">
        <v>713.74</v>
      </c>
      <c r="F21" s="40">
        <v>1499.9</v>
      </c>
      <c r="G21" s="40">
        <v>853.9</v>
      </c>
      <c r="H21" s="40">
        <v>1828.3</v>
      </c>
      <c r="I21" s="40">
        <v>1224.94</v>
      </c>
      <c r="J21" s="40">
        <v>1582.16</v>
      </c>
      <c r="K21" s="40">
        <v>1425.06</v>
      </c>
      <c r="L21" s="40">
        <v>1872.98</v>
      </c>
      <c r="M21" s="40">
        <v>1178.92</v>
      </c>
      <c r="N21" s="40">
        <f>B21+C21+D21+E21+F21+G21+H21+I21+J21+K21+L21+M21</f>
        <v>16041.159999999998</v>
      </c>
    </row>
    <row r="22" spans="1:14" ht="16">
      <c r="A22" s="34" t="s">
        <v>19</v>
      </c>
      <c r="B22" s="41">
        <f>B15+B16+B17+B18+B19+B20+B21</f>
        <v>1251.76</v>
      </c>
      <c r="C22" s="41">
        <f>C15+C16+C17+C18+C19+C20+C21</f>
        <v>3611.5599999999995</v>
      </c>
      <c r="D22" s="41">
        <f>D15+D16+D17+D18+D19+D20+D21</f>
        <v>1997.04</v>
      </c>
      <c r="E22" s="41">
        <f>E15+E16+E17+E18+E19+E20+E21</f>
        <v>5501.44</v>
      </c>
      <c r="F22" s="41">
        <f>F15+F16+F17+F18+F19+F20+F21</f>
        <v>1946.8700000000001</v>
      </c>
      <c r="G22" s="41">
        <f>G15+G16+G17+G18+G19+G20+G21</f>
        <v>1888.92</v>
      </c>
      <c r="H22" s="41">
        <f>H15+H16+H17+H18+H19+H20+H21</f>
        <v>3562.62</v>
      </c>
      <c r="I22" s="41">
        <f>I15+I16+I17+I18+I19+I20+I21</f>
        <v>2618.38</v>
      </c>
      <c r="J22" s="41">
        <f>J15+J16+J17+J18+J19+J20+J21</f>
        <v>5724.59</v>
      </c>
      <c r="K22" s="41">
        <f>K15+K16+K17+K18+K19+K20+K21</f>
        <v>4589.82</v>
      </c>
      <c r="L22" s="41">
        <f>L15+L16+L17+L18+L19+L20+L21</f>
        <v>1872.98</v>
      </c>
      <c r="M22" s="41">
        <f>M15+M16+M17+M18+M19+M20+M21</f>
        <v>2315.92</v>
      </c>
      <c r="N22" s="43">
        <f>B22+C22+D22+E22+F22+G22+H22+I22+J22+K22+L22+M22</f>
        <v>36881.9</v>
      </c>
    </row>
    <row r="23" spans="1:14" ht="16">
      <c r="A23" s="35" t="s">
        <v>20</v>
      </c>
      <c r="B23" s="41">
        <f>B14+B22</f>
        <v>1251.76</v>
      </c>
      <c r="C23" s="41">
        <f>C14+C22</f>
        <v>3611.5599999999995</v>
      </c>
      <c r="D23" s="41">
        <f>D14+D22</f>
        <v>1997.04</v>
      </c>
      <c r="E23" s="41">
        <f>E14+E22</f>
        <v>5501.44</v>
      </c>
      <c r="F23" s="41">
        <f>F14+F22</f>
        <v>1946.8700000000001</v>
      </c>
      <c r="G23" s="41">
        <f>G14+G22</f>
        <v>1888.92</v>
      </c>
      <c r="H23" s="41">
        <f>H14+H22</f>
        <v>3562.62</v>
      </c>
      <c r="I23" s="41">
        <f>I14+I22</f>
        <v>2618.38</v>
      </c>
      <c r="J23" s="41">
        <f>J14+J22</f>
        <v>5724.59</v>
      </c>
      <c r="K23" s="41">
        <f>K14+K22</f>
        <v>4589.82</v>
      </c>
      <c r="L23" s="41">
        <f>L14+L22</f>
        <v>1872.98</v>
      </c>
      <c r="M23" s="41">
        <f>M14+M22</f>
        <v>2315.92</v>
      </c>
      <c r="N23" s="43">
        <f>B23+C23+D23+E23+F23+G23+H23+I23+J23+K23+L23+M23</f>
        <v>36881.9</v>
      </c>
    </row>
    <row r="24" spans="1:14" ht="16">
      <c r="A24" s="35" t="s">
        <v>21</v>
      </c>
      <c r="B24" s="41">
        <f>B13-B23</f>
        <v>14868.24</v>
      </c>
      <c r="C24" s="41">
        <f>C13-C23</f>
        <v>12028.44</v>
      </c>
      <c r="D24" s="41">
        <f>D13-D23</f>
        <v>10252.96</v>
      </c>
      <c r="E24" s="41">
        <f>E13-E23</f>
        <v>9058.560000000001</v>
      </c>
      <c r="F24" s="41">
        <f>F13-F23</f>
        <v>11553.13</v>
      </c>
      <c r="G24" s="41">
        <f>G13-G23</f>
        <v>13910.16</v>
      </c>
      <c r="H24" s="41">
        <f>H13-H23</f>
        <v>13057.380000000001</v>
      </c>
      <c r="I24" s="41">
        <f>I13-I23</f>
        <v>11842.02</v>
      </c>
      <c r="J24" s="41">
        <f>J13-J23</f>
        <v>3640.41</v>
      </c>
      <c r="K24" s="41">
        <f>K13-K23</f>
        <v>13190.18</v>
      </c>
      <c r="L24" s="41">
        <f>L13-L23</f>
        <v>13027.02</v>
      </c>
      <c r="M24" s="41">
        <f>M13-M23</f>
        <v>14234.08</v>
      </c>
      <c r="N24" s="43">
        <f>B24+C24+D24+E24+F24+G24+H24+I24+J24+K24+L24+M24</f>
        <v>140662.58000000002</v>
      </c>
    </row>
    <row r="25" spans="1:14" ht="16">
      <c r="A25" s="35" t="s">
        <v>22</v>
      </c>
      <c r="B25" s="41">
        <f>B24+0</f>
        <v>14868.24</v>
      </c>
      <c r="C25" s="41">
        <f>C24+0</f>
        <v>12028.44</v>
      </c>
      <c r="D25" s="41">
        <f>D24+0</f>
        <v>10252.96</v>
      </c>
      <c r="E25" s="41">
        <f>E24+0</f>
        <v>9058.560000000001</v>
      </c>
      <c r="F25" s="41">
        <f>F24+0</f>
        <v>11553.13</v>
      </c>
      <c r="G25" s="41">
        <f>G24+0</f>
        <v>13910.16</v>
      </c>
      <c r="H25" s="41">
        <f>H24+0</f>
        <v>13057.380000000001</v>
      </c>
      <c r="I25" s="41">
        <f>I24+0</f>
        <v>11842.02</v>
      </c>
      <c r="J25" s="41">
        <f>J24+0</f>
        <v>3640.41</v>
      </c>
      <c r="K25" s="41">
        <f>K24+0</f>
        <v>13190.18</v>
      </c>
      <c r="L25" s="41">
        <f>L24+0</f>
        <v>13027.02</v>
      </c>
      <c r="M25" s="41">
        <f>M24+0</f>
        <v>14234.08</v>
      </c>
      <c r="N25" s="43">
        <f>B25+C25+D25+E25+F25+G25+H25+I25+J25+K25+L25+M25</f>
        <v>140662.58000000002</v>
      </c>
    </row>
    <row r="29" spans="1:1" ht="16">
      <c r="A29" s="44" t="s">
        <v>37</v>
      </c>
    </row>
  </sheetData>
  <mergeCells count="4">
    <mergeCell ref="A1:N1"/>
    <mergeCell ref="A2:N2"/>
    <mergeCell ref="A3:N3"/>
    <mergeCell ref="A29:N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