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</calcChain>
</file>

<file path=xl/sharedStrings.xml><?xml version="1.0" encoding="utf-8"?>
<sst xmlns="http://schemas.openxmlformats.org/spreadsheetml/2006/main" count="30" uniqueCount="30">
  <si>
    <t>SAL Investment Properties</t>
  </si>
  <si>
    <t>Profit and Loss by Class</t>
  </si>
  <si>
    <t>January-December, 2025</t>
  </si>
  <si>
    <t>Income</t>
  </si>
  <si>
    <t>LTR Rents</t>
  </si>
  <si>
    <t>Late Fee collected</t>
  </si>
  <si>
    <t>LTR Cash Receipts</t>
  </si>
  <si>
    <t>Total for LTR Rents</t>
  </si>
  <si>
    <t>Total for Income</t>
  </si>
  <si>
    <t>Gross Profit</t>
  </si>
  <si>
    <t>Expenses</t>
  </si>
  <si>
    <t>LTR Expenses</t>
  </si>
  <si>
    <t>Pest Control</t>
  </si>
  <si>
    <t>Repair &amp; Maintenance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</si>
  <si>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</si>
  <si>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</si>
  <si>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</si>
  <si>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</si>
  <si>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</si>
  <si>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</si>
  <si>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</si>
  <si>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</si>
  <si>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1103 22nd St</t>
  </si>
  <si>
    <t>225 Grandview Ave</t>
  </si>
  <si>
    <t>244 harter ave</t>
  </si>
  <si>
    <t>2631 Demington</t>
  </si>
  <si>
    <t>300 Montrose</t>
  </si>
  <si>
    <t>426 Vince</t>
  </si>
  <si>
    <t>Total</t>
  </si>
  <si>
    <t>Accrual Basis Tuesday, June 09, 2026 04:42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</si>
</sst>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27"/>
  <sheetViews>
    <sheetView tabSelected="1" workbookViewId="0" topLeftCell="A1"/>
  </sheetViews>
  <sheetFormatPr defaultColWidth="11.255" defaultRowHeight="16"/>
  <cols>
    <col min="1" max="1" width="19.5" style="36" customWidth="1"/>
    <col min="2" max="2" width="11" style="36" customWidth="1"/>
    <col min="3" max="3" width="15.25" style="36" customWidth="1"/>
    <col min="4" max="5" width="16.125" style="36" customWidth="1"/>
    <col min="6" max="6" width="11" style="36" customWidth="1"/>
    <col min="7" max="7" width="8.375" style="36" customWidth="1"/>
    <col min="8" max="8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8" ht="16">
      <c r="A5" s="38" t="s">
        <v>21</v>
      </c>
      <c r="B5" s="42" t="s">
        <v>22</v>
      </c>
      <c r="C5" s="42" t="s">
        <v>23</v>
      </c>
      <c r="D5" s="42" t="s">
        <v>24</v>
      </c>
      <c r="E5" s="42" t="s">
        <v>25</v>
      </c>
      <c r="F5" s="42" t="s">
        <v>26</v>
      </c>
      <c r="G5" s="42" t="s">
        <v>27</v>
      </c>
      <c r="H5" s="42" t="s">
        <v>28</v>
      </c>
    </row>
    <row r="6" spans="1:7" ht="16">
      <c r="A6" s="31" t="s">
        <v>3</v>
      </c>
      <c r="B6" s="39"/>
      <c r="C6" s="39"/>
      <c r="D6" s="39"/>
      <c r="E6" s="39"/>
      <c r="F6" s="39"/>
      <c r="G6" s="39"/>
    </row>
    <row r="7" spans="1:8" ht="16">
      <c r="A7" s="32" t="s">
        <v>4</v>
      </c>
      <c r="B7" s="40">
        <v>19800.0</v>
      </c>
      <c r="C7" s="40">
        <v>19420.0</v>
      </c>
      <c r="D7" s="40">
        <v>16260.0</v>
      </c>
      <c r="E7" s="40">
        <v>55200.0</v>
      </c>
      <c r="F7" s="40">
        <v>27800.0</v>
      </c>
      <c r="G7" s="40">
        <v>18600.0</v>
      </c>
      <c r="H7" s="40">
        <f>B7+C7+D7+E7+F7+G7</f>
        <v>157080.0</v>
      </c>
    </row>
    <row r="8" spans="1:8" ht="16">
      <c r="A8" s="33" t="s">
        <v>5</v>
      </c>
      <c r="B8" s="39"/>
      <c r="C8" s="39"/>
      <c r="D8" s="40">
        <v>50.0</v>
      </c>
      <c r="E8" s="39"/>
      <c r="F8" s="40">
        <v>50.0</v>
      </c>
      <c r="G8" s="40">
        <v>150.0</v>
      </c>
      <c r="H8" s="40">
        <f>B8+C8+D8+E8+F8+G8</f>
        <v>250.0</v>
      </c>
    </row>
    <row r="9" spans="1:8" ht="16">
      <c r="A9" s="33" t="s">
        <v>6</v>
      </c>
      <c r="B9" s="40">
        <v>1800.0</v>
      </c>
      <c r="C9" s="39"/>
      <c r="D9" s="40">
        <v>3280.0</v>
      </c>
      <c r="E9" s="39"/>
      <c r="F9" s="40">
        <v>0</v>
      </c>
      <c r="G9" s="40">
        <v>0</v>
      </c>
      <c r="H9" s="40">
        <f>B9+C9+D9+E9+F9+G9</f>
        <v>5080.0</v>
      </c>
    </row>
    <row r="10" spans="1:8" ht="16">
      <c r="A10" s="34" t="s">
        <v>7</v>
      </c>
      <c r="B10" s="41">
        <f>B7+B8+B9</f>
        <v>21600.0</v>
      </c>
      <c r="C10" s="41">
        <f>C7+C8+C9</f>
        <v>19420.0</v>
      </c>
      <c r="D10" s="41">
        <f>D7+D8+D9</f>
        <v>19590.0</v>
      </c>
      <c r="E10" s="41">
        <f>E7+E8+E9</f>
        <v>55200.0</v>
      </c>
      <c r="F10" s="41">
        <f>F7+F8+F9</f>
        <v>27850.0</v>
      </c>
      <c r="G10" s="41">
        <f>G7+G8+G9</f>
        <v>18750.0</v>
      </c>
      <c r="H10" s="43">
        <f>B10+C10+D10+E10+F10+G10</f>
        <v>162410.0</v>
      </c>
    </row>
    <row r="11" spans="1:8" ht="16">
      <c r="A11" s="35" t="s">
        <v>8</v>
      </c>
      <c r="B11" s="41">
        <f>B6+B10</f>
        <v>21600.0</v>
      </c>
      <c r="C11" s="41">
        <f>C6+C10</f>
        <v>19420.0</v>
      </c>
      <c r="D11" s="41">
        <f>D6+D10</f>
        <v>19590.0</v>
      </c>
      <c r="E11" s="41">
        <f>E6+E10</f>
        <v>55200.0</v>
      </c>
      <c r="F11" s="41">
        <f>F6+F10</f>
        <v>27850.0</v>
      </c>
      <c r="G11" s="41">
        <f>G6+G10</f>
        <v>18750.0</v>
      </c>
      <c r="H11" s="43">
        <f>B11+C11+D11+E11+F11+G11</f>
        <v>162410.0</v>
      </c>
    </row>
    <row r="12" spans="1:8" ht="16">
      <c r="A12" s="35" t="s">
        <v>9</v>
      </c>
      <c r="B12" s="41">
        <f>B11-0</f>
        <v>21600.0</v>
      </c>
      <c r="C12" s="41">
        <f>C11-0</f>
        <v>19420.0</v>
      </c>
      <c r="D12" s="41">
        <f>D11-0</f>
        <v>19590.0</v>
      </c>
      <c r="E12" s="41">
        <f>E11-0</f>
        <v>55200.0</v>
      </c>
      <c r="F12" s="41">
        <f>F11-0</f>
        <v>27850.0</v>
      </c>
      <c r="G12" s="41">
        <f>G11-0</f>
        <v>18750.0</v>
      </c>
      <c r="H12" s="43">
        <f>B12+C12+D12+E12+F12+G12</f>
        <v>162410.0</v>
      </c>
    </row>
    <row r="13" spans="1:7" ht="16">
      <c r="A13" s="31" t="s">
        <v>10</v>
      </c>
      <c r="B13" s="39"/>
      <c r="C13" s="39"/>
      <c r="D13" s="39"/>
      <c r="E13" s="39"/>
      <c r="F13" s="39"/>
      <c r="G13" s="39"/>
    </row>
    <row r="14" spans="1:8" ht="16">
      <c r="A14" s="32" t="s">
        <v>11</v>
      </c>
      <c r="B14" s="39"/>
      <c r="C14" s="39"/>
      <c r="D14" s="39"/>
      <c r="E14" s="39"/>
      <c r="F14" s="39"/>
      <c r="G14" s="39"/>
      <c r="H14" s="39"/>
    </row>
    <row r="15" spans="1:8" ht="16">
      <c r="A15" s="33" t="s">
        <v>12</v>
      </c>
      <c r="B15" s="40">
        <v>511.2</v>
      </c>
      <c r="C15" s="39"/>
      <c r="D15" s="39"/>
      <c r="E15" s="40">
        <v>42.6</v>
      </c>
      <c r="F15" s="39"/>
      <c r="G15" s="39"/>
      <c r="H15" s="40">
        <f>B15+C15+D15+E15+F15+G15</f>
        <v>553.8</v>
      </c>
    </row>
    <row r="16" spans="1:8" ht="16">
      <c r="A16" s="33" t="s">
        <v>13</v>
      </c>
      <c r="B16" s="39"/>
      <c r="C16" s="39"/>
      <c r="D16" s="39"/>
      <c r="E16" s="39"/>
      <c r="F16" s="39"/>
      <c r="G16" s="40">
        <v>144.98</v>
      </c>
      <c r="H16" s="40">
        <f>B16+C16+D16+E16+F16+G16</f>
        <v>144.98</v>
      </c>
    </row>
    <row r="17" spans="1:8" ht="16">
      <c r="A17" s="33" t="s">
        <v>14</v>
      </c>
      <c r="B17" s="40">
        <v>1876.73</v>
      </c>
      <c r="C17" s="40">
        <v>1912.95</v>
      </c>
      <c r="D17" s="40">
        <v>2279.61</v>
      </c>
      <c r="E17" s="40">
        <v>7695.72</v>
      </c>
      <c r="F17" s="40">
        <v>3235.1</v>
      </c>
      <c r="G17" s="39"/>
      <c r="H17" s="40">
        <f>B17+C17+D17+E17+F17+G17</f>
        <v>17000.11</v>
      </c>
    </row>
    <row r="18" spans="1:8" ht="16">
      <c r="A18" s="33" t="s">
        <v>15</v>
      </c>
      <c r="B18" s="40">
        <v>1467.42</v>
      </c>
      <c r="C18" s="39"/>
      <c r="D18" s="39"/>
      <c r="E18" s="40">
        <v>665.05</v>
      </c>
      <c r="F18" s="39"/>
      <c r="G18" s="39"/>
      <c r="H18" s="40">
        <f>B18+C18+D18+E18+F18+G18</f>
        <v>2132.4700000000003</v>
      </c>
    </row>
    <row r="19" spans="1:8" ht="16">
      <c r="A19" s="33" t="s">
        <v>16</v>
      </c>
      <c r="B19" s="40">
        <v>2434.08</v>
      </c>
      <c r="C19" s="40">
        <v>1688.86</v>
      </c>
      <c r="D19" s="40">
        <v>2383.58</v>
      </c>
      <c r="E19" s="40">
        <v>2823.44</v>
      </c>
      <c r="F19" s="40">
        <v>2305.42</v>
      </c>
      <c r="G19" s="40">
        <v>2240.94</v>
      </c>
      <c r="H19" s="40">
        <f>B19+C19+D19+E19+F19+G19</f>
        <v>13876.32</v>
      </c>
    </row>
    <row r="20" spans="1:8" ht="16">
      <c r="A20" s="34" t="s">
        <v>17</v>
      </c>
      <c r="B20" s="41">
        <f>B14+B15+B16+B17+B18+B19</f>
        <v>6289.43</v>
      </c>
      <c r="C20" s="41">
        <f>C14+C15+C16+C17+C18+C19</f>
        <v>3601.81</v>
      </c>
      <c r="D20" s="41">
        <f>D14+D15+D16+D17+D18+D19</f>
        <v>4663.1900000000005</v>
      </c>
      <c r="E20" s="41">
        <f>E14+E15+E16+E17+E18+E19</f>
        <v>11226.810000000001</v>
      </c>
      <c r="F20" s="41">
        <f>F14+F15+F16+F17+F18+F19</f>
        <v>5540.52</v>
      </c>
      <c r="G20" s="41">
        <f>G14+G15+G16+G17+G18+G19</f>
        <v>2385.92</v>
      </c>
      <c r="H20" s="43">
        <f>B20+C20+D20+E20+F20+G20</f>
        <v>33707.68</v>
      </c>
    </row>
    <row r="21" spans="1:8" ht="16">
      <c r="A21" s="35" t="s">
        <v>18</v>
      </c>
      <c r="B21" s="41">
        <f>B13+B20</f>
        <v>6289.43</v>
      </c>
      <c r="C21" s="41">
        <f>C13+C20</f>
        <v>3601.81</v>
      </c>
      <c r="D21" s="41">
        <f>D13+D20</f>
        <v>4663.1900000000005</v>
      </c>
      <c r="E21" s="41">
        <f>E13+E20</f>
        <v>11226.810000000001</v>
      </c>
      <c r="F21" s="41">
        <f>F13+F20</f>
        <v>5540.52</v>
      </c>
      <c r="G21" s="41">
        <f>G13+G20</f>
        <v>2385.92</v>
      </c>
      <c r="H21" s="43">
        <f>B21+C21+D21+E21+F21+G21</f>
        <v>33707.68</v>
      </c>
    </row>
    <row r="22" spans="1:8" ht="16">
      <c r="A22" s="35" t="s">
        <v>19</v>
      </c>
      <c r="B22" s="41">
        <f>B12-B21</f>
        <v>15310.57</v>
      </c>
      <c r="C22" s="41">
        <f>C12-C21</f>
        <v>15818.19</v>
      </c>
      <c r="D22" s="41">
        <f>D12-D21</f>
        <v>14926.81</v>
      </c>
      <c r="E22" s="41">
        <f>E12-E21</f>
        <v>43973.19</v>
      </c>
      <c r="F22" s="41">
        <f>F12-F21</f>
        <v>22309.48</v>
      </c>
      <c r="G22" s="41">
        <f>G12-G21</f>
        <v>16364.08</v>
      </c>
      <c r="H22" s="43">
        <f>B22+C22+D22+E22+F22+G22</f>
        <v>128702.32</v>
      </c>
    </row>
    <row r="23" spans="1:8" ht="16">
      <c r="A23" s="35" t="s">
        <v>20</v>
      </c>
      <c r="B23" s="41">
        <f>B22+0</f>
        <v>15310.57</v>
      </c>
      <c r="C23" s="41">
        <f>C22+0</f>
        <v>15818.19</v>
      </c>
      <c r="D23" s="41">
        <f>D22+0</f>
        <v>14926.81</v>
      </c>
      <c r="E23" s="41">
        <f>E22+0</f>
        <v>43973.19</v>
      </c>
      <c r="F23" s="41">
        <f>F22+0</f>
        <v>22309.48</v>
      </c>
      <c r="G23" s="41">
        <f>G22+0</f>
        <v>16364.08</v>
      </c>
      <c r="H23" s="43">
        <f>B23+C23+D23+E23+F23+G23</f>
        <v>128702.32</v>
      </c>
    </row>
    <row r="27" spans="1:1" ht="16">
      <c r="A27" s="44" t="s">
        <v>29</v>
      </c>
    </row>
  </sheetData>
  <mergeCells count="4">
    <mergeCell ref="A1:H1"/>
    <mergeCell ref="A2:H2"/>
    <mergeCell ref="A3:H3"/>
    <mergeCell ref="A27:H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