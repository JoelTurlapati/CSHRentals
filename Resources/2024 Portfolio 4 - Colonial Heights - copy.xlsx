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1" l="1"/>
</calcChain>
</file>

<file path=xl/sharedStrings.xml><?xml version="1.0" encoding="utf-8"?>
<sst xmlns="http://schemas.openxmlformats.org/spreadsheetml/2006/main" count="35" uniqueCount="35">
  <si>
    <t>SAL Investment Properties</t>
  </si>
  <si>
    <t>Profit and Loss by Class</t>
  </si>
  <si>
    <t>January-December, 2024</t>
  </si>
  <si>
    <t>Income</t>
  </si>
  <si>
    <t>LTR Rents</t>
  </si>
  <si>
    <t>Late Fee collected</t>
  </si>
  <si>
    <t>LTR Cash Receipts</t>
  </si>
  <si>
    <t>Security Deposit Income</t>
  </si>
  <si>
    <t>Total for LTR Rents</t>
  </si>
  <si>
    <t>Services</t>
  </si>
  <si>
    <t>Total for Income</t>
  </si>
  <si>
    <t>Gross Profit</t>
  </si>
  <si>
    <t>Expenses</t>
  </si>
  <si>
    <t>LTR Expenses</t>
  </si>
  <si>
    <t>Repair Labor</t>
  </si>
  <si>
    <t>Repair Materials</t>
  </si>
  <si>
    <t>Taxes - Real Estate</t>
  </si>
  <si>
    <t>Total for LTR Expenses</t>
  </si>
  <si>
    <t>Total for Expenses</t>
  </si>
  <si>
    <t>Net Operating Income</t>
  </si>
  <si>
    <t>Net Income</t>
  </si>
  <si>
    <t/>
  </si>
  <si>
    <t>1012 28th st NE</t>
  </si>
  <si>
    <t>1203 25th NE</t>
  </si>
  <si>
    <t>1206 24th st ne</t>
  </si>
  <si>
    <t>1207 colonial</t>
  </si>
  <si>
    <t>1210 25th St.</t>
  </si>
  <si>
    <t>1219 24th st NE</t>
  </si>
  <si>
    <t>1306 22nd St NE</t>
  </si>
  <si>
    <t>1326 24th ne</t>
  </si>
  <si>
    <t>1330 24th ne</t>
  </si>
  <si>
    <t>1335 22nd</t>
  </si>
  <si>
    <t>804 29th St.</t>
  </si>
  <si>
    <t>Total</t>
  </si>
  <si>
    <t>Accrual Basis Tuesday, June 09, 2026 04:41 PM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</si>
</sst>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7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177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M27"/>
  <sheetViews>
    <sheetView tabSelected="1" workbookViewId="0" topLeftCell="A1"/>
  </sheetViews>
  <sheetFormatPr defaultColWidth="11.255" defaultRowHeight="16"/>
  <cols>
    <col min="1" max="1" width="20.375" style="37" customWidth="1"/>
    <col min="2" max="2" width="13.5" style="37" customWidth="1"/>
    <col min="3" max="3" width="11" style="37" customWidth="1"/>
    <col min="4" max="4" width="13.5" style="37" customWidth="1"/>
    <col min="5" max="6" width="11.75" style="37" customWidth="1"/>
    <col min="7" max="7" width="13.5" style="37" customWidth="1"/>
    <col min="8" max="8" width="16.125" style="37" customWidth="1"/>
    <col min="9" max="9" width="11" style="37" customWidth="1"/>
    <col min="10" max="10" width="16.125" style="37" customWidth="1"/>
    <col min="11" max="11" width="8.375" style="37" customWidth="1"/>
    <col min="12" max="12" width="11" style="37" customWidth="1"/>
    <col min="13" max="13" width="16.125" style="37" customWidth="1"/>
  </cols>
  <sheetData>
    <row r="1" spans="1:1" ht="16">
      <c r="A1" s="28" t="s">
        <v>0</v>
      </c>
    </row>
    <row r="2" spans="1:1" ht="16">
      <c r="A2" s="29" t="s">
        <v>1</v>
      </c>
    </row>
    <row r="3" spans="1:1" ht="16">
      <c r="A3" s="30" t="s">
        <v>2</v>
      </c>
    </row>
    <row r="5" spans="1:13" ht="16">
      <c r="A5" s="39" t="s">
        <v>21</v>
      </c>
      <c r="B5" s="43" t="s">
        <v>22</v>
      </c>
      <c r="C5" s="43" t="s">
        <v>23</v>
      </c>
      <c r="D5" s="43" t="s">
        <v>24</v>
      </c>
      <c r="E5" s="43" t="s">
        <v>25</v>
      </c>
      <c r="F5" s="43" t="s">
        <v>26</v>
      </c>
      <c r="G5" s="43" t="s">
        <v>27</v>
      </c>
      <c r="H5" s="43" t="s">
        <v>28</v>
      </c>
      <c r="I5" s="43" t="s">
        <v>29</v>
      </c>
      <c r="J5" s="43" t="s">
        <v>30</v>
      </c>
      <c r="K5" s="43" t="s">
        <v>31</v>
      </c>
      <c r="L5" s="43" t="s">
        <v>32</v>
      </c>
      <c r="M5" s="43" t="s">
        <v>33</v>
      </c>
    </row>
    <row r="6" spans="1:12" ht="16">
      <c r="A6" s="32" t="s">
        <v>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3" ht="16">
      <c r="A7" s="33" t="s">
        <v>4</v>
      </c>
      <c r="B7" s="41">
        <v>17200.0</v>
      </c>
      <c r="C7" s="41">
        <v>11700.0</v>
      </c>
      <c r="D7" s="41">
        <v>19250.0</v>
      </c>
      <c r="E7" s="41">
        <v>16200.0</v>
      </c>
      <c r="F7" s="41">
        <v>16520.0</v>
      </c>
      <c r="G7" s="41">
        <v>15440.0</v>
      </c>
      <c r="H7" s="41">
        <v>16130.0</v>
      </c>
      <c r="I7" s="41">
        <v>13680.0</v>
      </c>
      <c r="J7" s="41">
        <v>13745.0</v>
      </c>
      <c r="K7" s="41">
        <v>13420.0</v>
      </c>
      <c r="L7" s="41">
        <v>16650.0</v>
      </c>
      <c r="M7" s="41">
        <f>B7+C7+D7+E7+F7+G7+H7+I7+J7+K7+L7</f>
        <v>169935.0</v>
      </c>
    </row>
    <row r="8" spans="1:13" ht="16">
      <c r="A8" s="34" t="s">
        <v>5</v>
      </c>
      <c r="B8" s="41">
        <v>30.0</v>
      </c>
      <c r="C8" s="41">
        <v>30.0</v>
      </c>
      <c r="D8" s="40"/>
      <c r="E8" s="41">
        <v>940.0</v>
      </c>
      <c r="F8" s="41">
        <v>350.0</v>
      </c>
      <c r="G8" s="41">
        <v>740.0</v>
      </c>
      <c r="H8" s="41">
        <v>60.0</v>
      </c>
      <c r="I8" s="41">
        <v>150.0</v>
      </c>
      <c r="J8" s="41">
        <v>150.0</v>
      </c>
      <c r="K8" s="40"/>
      <c r="L8" s="41">
        <v>110.0</v>
      </c>
      <c r="M8" s="41">
        <f>B8+C8+D8+E8+F8+G8+H8+I8+J8+K8+L8</f>
        <v>2560.0</v>
      </c>
    </row>
    <row r="9" spans="1:13" ht="16">
      <c r="A9" s="34" t="s">
        <v>6</v>
      </c>
      <c r="B9" s="40"/>
      <c r="C9" s="41">
        <v>958.0</v>
      </c>
      <c r="D9" s="40"/>
      <c r="E9" s="40"/>
      <c r="F9" s="40"/>
      <c r="G9" s="40"/>
      <c r="H9" s="40"/>
      <c r="I9" s="40"/>
      <c r="J9" s="41">
        <v>2429.0</v>
      </c>
      <c r="K9" s="40"/>
      <c r="L9" s="40"/>
      <c r="M9" s="41">
        <f>B9+C9+D9+E9+F9+G9+H9+I9+J9+K9+L9</f>
        <v>3387.0</v>
      </c>
    </row>
    <row r="10" spans="1:13" ht="16">
      <c r="A10" s="34" t="s">
        <v>7</v>
      </c>
      <c r="B10" s="40"/>
      <c r="C10" s="41">
        <v>2550.0</v>
      </c>
      <c r="D10" s="40"/>
      <c r="E10" s="40"/>
      <c r="F10" s="40"/>
      <c r="G10" s="40"/>
      <c r="H10" s="40"/>
      <c r="I10" s="40"/>
      <c r="J10" s="41">
        <v>1800.0</v>
      </c>
      <c r="K10" s="40"/>
      <c r="L10" s="40"/>
      <c r="M10" s="41">
        <f>B10+C10+D10+E10+F10+G10+H10+I10+J10+K10+L10</f>
        <v>4350.0</v>
      </c>
    </row>
    <row r="11" spans="1:13" ht="16">
      <c r="A11" s="35" t="s">
        <v>8</v>
      </c>
      <c r="B11" s="42">
        <f>B7+B8+B9+B10</f>
        <v>17230.0</v>
      </c>
      <c r="C11" s="42">
        <f>C7+C8+C9+C10</f>
        <v>15238.0</v>
      </c>
      <c r="D11" s="42">
        <f>D7+D8+D9+D10</f>
        <v>19250.0</v>
      </c>
      <c r="E11" s="42">
        <f>E7+E8+E9+E10</f>
        <v>17140.0</v>
      </c>
      <c r="F11" s="42">
        <f>F7+F8+F9+F10</f>
        <v>16870.0</v>
      </c>
      <c r="G11" s="42">
        <f>G7+G8+G9+G10</f>
        <v>16180.0</v>
      </c>
      <c r="H11" s="42">
        <f>H7+H8+H9+H10</f>
        <v>16190.0</v>
      </c>
      <c r="I11" s="42">
        <f>I7+I8+I9+I10</f>
        <v>13830.0</v>
      </c>
      <c r="J11" s="42">
        <f>J7+J8+J9+J10</f>
        <v>18124.0</v>
      </c>
      <c r="K11" s="42">
        <f>K7+K8+K9+K10</f>
        <v>13420.0</v>
      </c>
      <c r="L11" s="42">
        <f>L7+L8+L9+L10</f>
        <v>16760.0</v>
      </c>
      <c r="M11" s="45">
        <f>B11+C11+D11+E11+F11+G11+H11+I11+J11+K11+L11</f>
        <v>180232.0</v>
      </c>
    </row>
    <row r="12" spans="1:13" ht="16">
      <c r="A12" s="33" t="s">
        <v>9</v>
      </c>
      <c r="B12" s="40"/>
      <c r="C12" s="44">
        <v>0</v>
      </c>
      <c r="D12" s="44">
        <v>0</v>
      </c>
      <c r="E12" s="40"/>
      <c r="F12" s="40"/>
      <c r="G12" s="40"/>
      <c r="H12" s="40"/>
      <c r="I12" s="40"/>
      <c r="J12" s="40"/>
      <c r="K12" s="40"/>
      <c r="L12" s="40"/>
      <c r="M12" s="44">
        <f>B12+C12+D12+E12+F12+G12+H12+I12+J12+K12+L12</f>
        <v>0.0</v>
      </c>
    </row>
    <row r="13" spans="1:13" ht="16">
      <c r="A13" s="36" t="s">
        <v>10</v>
      </c>
      <c r="B13" s="42">
        <f>B6+B11+B12</f>
        <v>17230.0</v>
      </c>
      <c r="C13" s="42">
        <f>C6+C11+C12</f>
        <v>15238.0</v>
      </c>
      <c r="D13" s="42">
        <f>D6+D11+D12</f>
        <v>19250.0</v>
      </c>
      <c r="E13" s="42">
        <f>E6+E11+E12</f>
        <v>17140.0</v>
      </c>
      <c r="F13" s="42">
        <f>F6+F11+F12</f>
        <v>16870.0</v>
      </c>
      <c r="G13" s="42">
        <f>G6+G11+G12</f>
        <v>16180.0</v>
      </c>
      <c r="H13" s="42">
        <f>H6+H11+H12</f>
        <v>16190.0</v>
      </c>
      <c r="I13" s="42">
        <f>I6+I11+I12</f>
        <v>13830.0</v>
      </c>
      <c r="J13" s="42">
        <f>J6+J11+J12</f>
        <v>18124.0</v>
      </c>
      <c r="K13" s="42">
        <f>K6+K11+K12</f>
        <v>13420.0</v>
      </c>
      <c r="L13" s="42">
        <f>L6+L11+L12</f>
        <v>16760.0</v>
      </c>
      <c r="M13" s="45">
        <f>B13+C13+D13+E13+F13+G13+H13+I13+J13+K13+L13</f>
        <v>180232.0</v>
      </c>
    </row>
    <row r="14" spans="1:13" ht="16">
      <c r="A14" s="36" t="s">
        <v>11</v>
      </c>
      <c r="B14" s="42">
        <f>B13-0</f>
        <v>17230.0</v>
      </c>
      <c r="C14" s="42">
        <f>C13-0</f>
        <v>15238.0</v>
      </c>
      <c r="D14" s="42">
        <f>D13-0</f>
        <v>19250.0</v>
      </c>
      <c r="E14" s="42">
        <f>E13-0</f>
        <v>17140.0</v>
      </c>
      <c r="F14" s="42">
        <f>F13-0</f>
        <v>16870.0</v>
      </c>
      <c r="G14" s="42">
        <f>G13-0</f>
        <v>16180.0</v>
      </c>
      <c r="H14" s="42">
        <f>H13-0</f>
        <v>16190.0</v>
      </c>
      <c r="I14" s="42">
        <f>I13-0</f>
        <v>13830.0</v>
      </c>
      <c r="J14" s="42">
        <f>J13-0</f>
        <v>18124.0</v>
      </c>
      <c r="K14" s="42">
        <f>K13-0</f>
        <v>13420.0</v>
      </c>
      <c r="L14" s="42">
        <f>L13-0</f>
        <v>16760.0</v>
      </c>
      <c r="M14" s="45">
        <f>B14+C14+D14+E14+F14+G14+H14+I14+J14+K14+L14</f>
        <v>180232.0</v>
      </c>
    </row>
    <row r="15" spans="1:12" ht="16">
      <c r="A15" s="32" t="s">
        <v>12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</row>
    <row r="16" spans="1:13" ht="16">
      <c r="A16" s="33" t="s">
        <v>13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</row>
    <row r="17" spans="1:13" ht="16">
      <c r="A17" s="34" t="s">
        <v>14</v>
      </c>
      <c r="B17" s="41">
        <v>1575.0</v>
      </c>
      <c r="C17" s="41">
        <v>3362.23</v>
      </c>
      <c r="D17" s="41">
        <v>150.0</v>
      </c>
      <c r="E17" s="41">
        <v>449.0</v>
      </c>
      <c r="F17" s="41">
        <v>4904.23</v>
      </c>
      <c r="G17" s="40"/>
      <c r="H17" s="41">
        <v>2075.0</v>
      </c>
      <c r="I17" s="41">
        <v>300.0</v>
      </c>
      <c r="J17" s="41">
        <v>1760.0</v>
      </c>
      <c r="K17" s="41">
        <v>1035.07</v>
      </c>
      <c r="L17" s="41">
        <v>1245.4</v>
      </c>
      <c r="M17" s="41">
        <f>B17+C17+D17+E17+F17+G17+H17+I17+J17+K17+L17</f>
        <v>16855.93</v>
      </c>
    </row>
    <row r="18" spans="1:13" ht="16">
      <c r="A18" s="34" t="s">
        <v>15</v>
      </c>
      <c r="B18" s="40"/>
      <c r="C18" s="41">
        <v>1013.81</v>
      </c>
      <c r="D18" s="40"/>
      <c r="E18" s="40"/>
      <c r="F18" s="40"/>
      <c r="G18" s="40"/>
      <c r="H18" s="40"/>
      <c r="I18" s="40"/>
      <c r="J18" s="40"/>
      <c r="K18" s="40"/>
      <c r="L18" s="41">
        <v>617.68</v>
      </c>
      <c r="M18" s="41">
        <f>B18+C18+D18+E18+F18+G18+H18+I18+J18+K18+L18</f>
        <v>1631.4899999999998</v>
      </c>
    </row>
    <row r="19" spans="1:13" ht="16">
      <c r="A19" s="34" t="s">
        <v>16</v>
      </c>
      <c r="B19" s="41">
        <v>1881.84</v>
      </c>
      <c r="C19" s="41">
        <v>2024.92</v>
      </c>
      <c r="D19" s="41">
        <v>1990.84</v>
      </c>
      <c r="E19" s="41">
        <v>1809.34</v>
      </c>
      <c r="F19" s="41">
        <v>1583.88</v>
      </c>
      <c r="G19" s="41">
        <v>1948.64</v>
      </c>
      <c r="H19" s="41">
        <v>1671.12</v>
      </c>
      <c r="I19" s="41">
        <v>1788.48</v>
      </c>
      <c r="J19" s="41">
        <v>959.12</v>
      </c>
      <c r="K19" s="41">
        <v>1600.52</v>
      </c>
      <c r="L19" s="41">
        <v>1608.68</v>
      </c>
      <c r="M19" s="41">
        <f>B19+C19+D19+E19+F19+G19+H19+I19+J19+K19+L19</f>
        <v>18867.379999999997</v>
      </c>
    </row>
    <row r="20" spans="1:13" ht="16">
      <c r="A20" s="35" t="s">
        <v>17</v>
      </c>
      <c r="B20" s="42">
        <f>B16+B17+B18+B19</f>
        <v>3456.84</v>
      </c>
      <c r="C20" s="42">
        <f>C16+C17+C18+C19</f>
        <v>6400.96</v>
      </c>
      <c r="D20" s="42">
        <f>D16+D17+D18+D19</f>
        <v>2140.84</v>
      </c>
      <c r="E20" s="42">
        <f>E16+E17+E18+E19</f>
        <v>2258.34</v>
      </c>
      <c r="F20" s="42">
        <f>F16+F17+F18+F19</f>
        <v>6488.11</v>
      </c>
      <c r="G20" s="42">
        <f>G16+G17+G18+G19</f>
        <v>1948.64</v>
      </c>
      <c r="H20" s="42">
        <f>H16+H17+H18+H19</f>
        <v>3746.12</v>
      </c>
      <c r="I20" s="42">
        <f>I16+I17+I18+I19</f>
        <v>2088.48</v>
      </c>
      <c r="J20" s="42">
        <f>J16+J17+J18+J19</f>
        <v>2719.12</v>
      </c>
      <c r="K20" s="42">
        <f>K16+K17+K18+K19</f>
        <v>2635.59</v>
      </c>
      <c r="L20" s="42">
        <f>L16+L17+L18+L19</f>
        <v>3471.76</v>
      </c>
      <c r="M20" s="45">
        <f>B20+C20+D20+E20+F20+G20+H20+I20+J20+K20+L20</f>
        <v>37354.799999999996</v>
      </c>
    </row>
    <row r="21" spans="1:13" ht="16">
      <c r="A21" s="36" t="s">
        <v>18</v>
      </c>
      <c r="B21" s="42">
        <f>B15+B20</f>
        <v>3456.84</v>
      </c>
      <c r="C21" s="42">
        <f>C15+C20</f>
        <v>6400.96</v>
      </c>
      <c r="D21" s="42">
        <f>D15+D20</f>
        <v>2140.84</v>
      </c>
      <c r="E21" s="42">
        <f>E15+E20</f>
        <v>2258.34</v>
      </c>
      <c r="F21" s="42">
        <f>F15+F20</f>
        <v>6488.11</v>
      </c>
      <c r="G21" s="42">
        <f>G15+G20</f>
        <v>1948.64</v>
      </c>
      <c r="H21" s="42">
        <f>H15+H20</f>
        <v>3746.12</v>
      </c>
      <c r="I21" s="42">
        <f>I15+I20</f>
        <v>2088.48</v>
      </c>
      <c r="J21" s="42">
        <f>J15+J20</f>
        <v>2719.12</v>
      </c>
      <c r="K21" s="42">
        <f>K15+K20</f>
        <v>2635.59</v>
      </c>
      <c r="L21" s="42">
        <f>L15+L20</f>
        <v>3471.76</v>
      </c>
      <c r="M21" s="45">
        <f>B21+C21+D21+E21+F21+G21+H21+I21+J21+K21+L21</f>
        <v>37354.799999999996</v>
      </c>
    </row>
    <row r="22" spans="1:13" ht="16">
      <c r="A22" s="36" t="s">
        <v>19</v>
      </c>
      <c r="B22" s="42">
        <f>B14-B21</f>
        <v>13773.16</v>
      </c>
      <c r="C22" s="42">
        <f>C14-C21</f>
        <v>8837.04</v>
      </c>
      <c r="D22" s="42">
        <f>D14-D21</f>
        <v>17109.16</v>
      </c>
      <c r="E22" s="42">
        <f>E14-E21</f>
        <v>14881.66</v>
      </c>
      <c r="F22" s="42">
        <f>F14-F21</f>
        <v>10381.89</v>
      </c>
      <c r="G22" s="42">
        <f>G14-G21</f>
        <v>14231.36</v>
      </c>
      <c r="H22" s="42">
        <f>H14-H21</f>
        <v>12443.880000000001</v>
      </c>
      <c r="I22" s="42">
        <f>I14-I21</f>
        <v>11741.52</v>
      </c>
      <c r="J22" s="42">
        <f>J14-J21</f>
        <v>15404.880000000001</v>
      </c>
      <c r="K22" s="42">
        <f>K14-K21</f>
        <v>10784.41</v>
      </c>
      <c r="L22" s="42">
        <f>L14-L21</f>
        <v>13288.24</v>
      </c>
      <c r="M22" s="45">
        <f>B22+C22+D22+E22+F22+G22+H22+I22+J22+K22+L22</f>
        <v>142877.2</v>
      </c>
    </row>
    <row r="23" spans="1:13" ht="16">
      <c r="A23" s="36" t="s">
        <v>20</v>
      </c>
      <c r="B23" s="42">
        <f>B22+0</f>
        <v>13773.16</v>
      </c>
      <c r="C23" s="42">
        <f>C22+0</f>
        <v>8837.04</v>
      </c>
      <c r="D23" s="42">
        <f>D22+0</f>
        <v>17109.16</v>
      </c>
      <c r="E23" s="42">
        <f>E22+0</f>
        <v>14881.66</v>
      </c>
      <c r="F23" s="42">
        <f>F22+0</f>
        <v>10381.89</v>
      </c>
      <c r="G23" s="42">
        <f>G22+0</f>
        <v>14231.36</v>
      </c>
      <c r="H23" s="42">
        <f>H22+0</f>
        <v>12443.880000000001</v>
      </c>
      <c r="I23" s="42">
        <f>I22+0</f>
        <v>11741.52</v>
      </c>
      <c r="J23" s="42">
        <f>J22+0</f>
        <v>15404.880000000001</v>
      </c>
      <c r="K23" s="42">
        <f>K22+0</f>
        <v>10784.41</v>
      </c>
      <c r="L23" s="42">
        <f>L22+0</f>
        <v>13288.24</v>
      </c>
      <c r="M23" s="45">
        <f>B23+C23+D23+E23+F23+G23+H23+I23+J23+K23+L23</f>
        <v>142877.2</v>
      </c>
    </row>
    <row r="27" spans="1:1" ht="16">
      <c r="A27" s="46" t="s">
        <v>34</v>
      </c>
    </row>
  </sheetData>
  <mergeCells count="4">
    <mergeCell ref="A1:M1"/>
    <mergeCell ref="A2:M2"/>
    <mergeCell ref="A3:M3"/>
    <mergeCell ref="A27:M2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