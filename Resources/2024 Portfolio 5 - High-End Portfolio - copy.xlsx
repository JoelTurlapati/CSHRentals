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1" l="1"/>
</calcChain>
</file>

<file path=xl/sharedStrings.xml><?xml version="1.0" encoding="utf-8"?>
<sst xmlns="http://schemas.openxmlformats.org/spreadsheetml/2006/main" count="30" uniqueCount="30">
  <si>
    <t>SAL Investment Properties</t>
  </si>
  <si>
    <t>Profit and Loss by Class</t>
  </si>
  <si>
    <t>January-December, 2024</t>
  </si>
  <si>
    <t>Income</t>
  </si>
  <si>
    <t>LTR Rents</t>
  </si>
  <si>
    <t>Late Fee collected</t>
  </si>
  <si>
    <t>LTR Cash Receipts</t>
  </si>
  <si>
    <t>Security Deposit Income</t>
  </si>
  <si>
    <t>Total for LTR Rents</t>
  </si>
  <si>
    <t>Total for Income</t>
  </si>
  <si>
    <t>Gross Profit</t>
  </si>
  <si>
    <t>Expenses</t>
  </si>
  <si>
    <t>LTR Expenses</t>
  </si>
  <si>
    <t>advertising</t>
  </si>
  <si>
    <t>Repair Labor</t>
  </si>
  <si>
    <t>Repair Materials</t>
  </si>
  <si>
    <t>Taxes - Real Estate</t>
  </si>
  <si>
    <t>Total for LTR Expenses</t>
  </si>
  <si>
    <t>Total for Expenses</t>
  </si>
  <si>
    <t>Net Operating Income</t>
  </si>
  <si>
    <t>Net Income</t>
  </si>
  <si>
    <t/>
  </si>
  <si>
    <t>1103 22nd St</t>
  </si>
  <si>
    <t>225 Grandview Ave</t>
  </si>
  <si>
    <t>244 harter ave</t>
  </si>
  <si>
    <t>2631 Demington</t>
  </si>
  <si>
    <t>300 Montrose</t>
  </si>
  <si>
    <t>426 Vince</t>
  </si>
  <si>
    <t>Total</t>
  </si>
  <si>
    <t>Accrual Basis Tuesday, June 09, 2026 04:41 PM GMT-04:00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</si>
</sst>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7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3" fillId="0" borderId="0" xfId="0" applyNumberFormat="1" applyFont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5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27"/>
  <sheetViews>
    <sheetView tabSelected="1" workbookViewId="0" topLeftCell="A1"/>
  </sheetViews>
  <sheetFormatPr defaultColWidth="11.255" defaultRowHeight="16"/>
  <cols>
    <col min="1" max="1" width="20.375" style="37" customWidth="1"/>
    <col min="2" max="2" width="16.125" style="37" customWidth="1"/>
    <col min="3" max="3" width="15.25" style="37" customWidth="1"/>
    <col min="4" max="4" width="12.625" style="37" customWidth="1"/>
    <col min="5" max="5" width="17" style="37" customWidth="1"/>
    <col min="6" max="6" width="16.125" style="37" customWidth="1"/>
    <col min="7" max="7" width="8.375" style="37" customWidth="1"/>
    <col min="8" max="8" width="16.125" style="37" customWidth="1"/>
  </cols>
  <sheetData>
    <row r="1" spans="1:1" ht="16">
      <c r="A1" s="28" t="s">
        <v>0</v>
      </c>
    </row>
    <row r="2" spans="1:1" ht="16">
      <c r="A2" s="29" t="s">
        <v>1</v>
      </c>
    </row>
    <row r="3" spans="1:1" ht="16">
      <c r="A3" s="30" t="s">
        <v>2</v>
      </c>
    </row>
    <row r="5" spans="1:8" ht="16">
      <c r="A5" s="39" t="s">
        <v>21</v>
      </c>
      <c r="B5" s="43" t="s">
        <v>22</v>
      </c>
      <c r="C5" s="43" t="s">
        <v>23</v>
      </c>
      <c r="D5" s="43" t="s">
        <v>24</v>
      </c>
      <c r="E5" s="43" t="s">
        <v>25</v>
      </c>
      <c r="F5" s="43" t="s">
        <v>26</v>
      </c>
      <c r="G5" s="43" t="s">
        <v>27</v>
      </c>
      <c r="H5" s="43" t="s">
        <v>28</v>
      </c>
    </row>
    <row r="6" spans="1:7" ht="16">
      <c r="A6" s="32" t="s">
        <v>3</v>
      </c>
      <c r="B6" s="40"/>
      <c r="C6" s="40"/>
      <c r="D6" s="40"/>
      <c r="E6" s="40"/>
      <c r="F6" s="40"/>
      <c r="G6" s="40"/>
    </row>
    <row r="7" spans="1:8" ht="16">
      <c r="A7" s="33" t="s">
        <v>4</v>
      </c>
      <c r="B7" s="41">
        <v>21400.0</v>
      </c>
      <c r="C7" s="41">
        <v>13500.0</v>
      </c>
      <c r="D7" s="41">
        <v>17510.0</v>
      </c>
      <c r="E7" s="41">
        <v>0</v>
      </c>
      <c r="F7" s="41">
        <v>18920.0</v>
      </c>
      <c r="G7" s="41">
        <v>11985.0</v>
      </c>
      <c r="H7" s="41">
        <f>B7+C7+D7+E7+F7+G7</f>
        <v>83315.0</v>
      </c>
    </row>
    <row r="8" spans="1:8" ht="16">
      <c r="A8" s="34" t="s">
        <v>5</v>
      </c>
      <c r="B8" s="40"/>
      <c r="C8" s="40"/>
      <c r="D8" s="40"/>
      <c r="E8" s="40"/>
      <c r="F8" s="40"/>
      <c r="G8" s="41">
        <v>60.0</v>
      </c>
      <c r="H8" s="41">
        <f>B8+C8+D8+E8+F8+G8</f>
        <v>60.0</v>
      </c>
    </row>
    <row r="9" spans="1:8" ht="16">
      <c r="A9" s="34" t="s">
        <v>6</v>
      </c>
      <c r="B9" s="40"/>
      <c r="C9" s="41">
        <v>2750.0</v>
      </c>
      <c r="D9" s="40"/>
      <c r="E9" s="41">
        <v>2800.0</v>
      </c>
      <c r="F9" s="41">
        <v>3756.67</v>
      </c>
      <c r="G9" s="41">
        <v>1344.0</v>
      </c>
      <c r="H9" s="41">
        <f>B9+C9+D9+E9+F9+G9</f>
        <v>10650.67</v>
      </c>
    </row>
    <row r="10" spans="1:8" ht="16">
      <c r="A10" s="34" t="s">
        <v>7</v>
      </c>
      <c r="B10" s="40"/>
      <c r="C10" s="41">
        <v>1600.0</v>
      </c>
      <c r="D10" s="40"/>
      <c r="E10" s="41">
        <v>1750.0</v>
      </c>
      <c r="F10" s="41">
        <v>2300.0</v>
      </c>
      <c r="G10" s="41">
        <v>2000.0</v>
      </c>
      <c r="H10" s="41">
        <f>B10+C10+D10+E10+F10+G10</f>
        <v>7650.0</v>
      </c>
    </row>
    <row r="11" spans="1:8" ht="16">
      <c r="A11" s="35" t="s">
        <v>8</v>
      </c>
      <c r="B11" s="42">
        <f>B7+B8+B9+B10</f>
        <v>21400.0</v>
      </c>
      <c r="C11" s="42">
        <f>C7+C8+C9+C10</f>
        <v>17850.0</v>
      </c>
      <c r="D11" s="42">
        <f>D7+D8+D9+D10</f>
        <v>17510.0</v>
      </c>
      <c r="E11" s="42">
        <f>E7+E8+E9+E10</f>
        <v>4550.0</v>
      </c>
      <c r="F11" s="42">
        <f>F7+F8+F9+F10</f>
        <v>24976.67</v>
      </c>
      <c r="G11" s="42">
        <f>G7+G8+G9+G10</f>
        <v>15389.0</v>
      </c>
      <c r="H11" s="45">
        <f>B11+C11+D11+E11+F11+G11</f>
        <v>101675.67</v>
      </c>
    </row>
    <row r="12" spans="1:8" ht="16">
      <c r="A12" s="36" t="s">
        <v>9</v>
      </c>
      <c r="B12" s="42">
        <f>B6+B11</f>
        <v>21400.0</v>
      </c>
      <c r="C12" s="42">
        <f>C6+C11</f>
        <v>17850.0</v>
      </c>
      <c r="D12" s="42">
        <f>D6+D11</f>
        <v>17510.0</v>
      </c>
      <c r="E12" s="42">
        <f>E6+E11</f>
        <v>4550.0</v>
      </c>
      <c r="F12" s="42">
        <f>F6+F11</f>
        <v>24976.67</v>
      </c>
      <c r="G12" s="42">
        <f>G6+G11</f>
        <v>15389.0</v>
      </c>
      <c r="H12" s="45">
        <f>B12+C12+D12+E12+F12+G12</f>
        <v>101675.67</v>
      </c>
    </row>
    <row r="13" spans="1:8" ht="16">
      <c r="A13" s="36" t="s">
        <v>10</v>
      </c>
      <c r="B13" s="42">
        <f>B12-0</f>
        <v>21400.0</v>
      </c>
      <c r="C13" s="42">
        <f>C12-0</f>
        <v>17850.0</v>
      </c>
      <c r="D13" s="42">
        <f>D12-0</f>
        <v>17510.0</v>
      </c>
      <c r="E13" s="42">
        <f>E12-0</f>
        <v>4550.0</v>
      </c>
      <c r="F13" s="42">
        <f>F12-0</f>
        <v>24976.67</v>
      </c>
      <c r="G13" s="42">
        <f>G12-0</f>
        <v>15389.0</v>
      </c>
      <c r="H13" s="45">
        <f>B13+C13+D13+E13+F13+G13</f>
        <v>101675.67</v>
      </c>
    </row>
    <row r="14" spans="1:7" ht="16">
      <c r="A14" s="32" t="s">
        <v>11</v>
      </c>
      <c r="B14" s="40"/>
      <c r="C14" s="40"/>
      <c r="D14" s="40"/>
      <c r="E14" s="40"/>
      <c r="F14" s="40"/>
      <c r="G14" s="40"/>
    </row>
    <row r="15" spans="1:8" ht="16">
      <c r="A15" s="33" t="s">
        <v>12</v>
      </c>
      <c r="B15" s="40"/>
      <c r="C15" s="40"/>
      <c r="D15" s="40"/>
      <c r="E15" s="40"/>
      <c r="F15" s="40"/>
      <c r="G15" s="40"/>
      <c r="H15" s="40"/>
    </row>
    <row r="16" spans="1:8" ht="16">
      <c r="A16" s="34" t="s">
        <v>13</v>
      </c>
      <c r="B16" s="40"/>
      <c r="C16" s="40"/>
      <c r="D16" s="40"/>
      <c r="E16" s="40"/>
      <c r="F16" s="40"/>
      <c r="G16" s="41">
        <v>100.0</v>
      </c>
      <c r="H16" s="41">
        <f>B16+C16+D16+E16+F16+G16</f>
        <v>100.0</v>
      </c>
    </row>
    <row r="17" spans="1:8" ht="16">
      <c r="A17" s="34" t="s">
        <v>14</v>
      </c>
      <c r="B17" s="41">
        <v>748.0</v>
      </c>
      <c r="C17" s="41">
        <v>1688.52</v>
      </c>
      <c r="D17" s="41">
        <v>125.0</v>
      </c>
      <c r="E17" s="41">
        <v>22149.13</v>
      </c>
      <c r="F17" s="41">
        <v>1882.82</v>
      </c>
      <c r="G17" s="41">
        <v>2717.83</v>
      </c>
      <c r="H17" s="41">
        <f>B17+C17+D17+E17+F17+G17</f>
        <v>29311.300000000003</v>
      </c>
    </row>
    <row r="18" spans="1:8" ht="16">
      <c r="A18" s="34" t="s">
        <v>15</v>
      </c>
      <c r="B18" s="40"/>
      <c r="C18" s="40"/>
      <c r="D18" s="40"/>
      <c r="E18" s="44">
        <v>0</v>
      </c>
      <c r="F18" s="40"/>
      <c r="G18" s="40"/>
      <c r="H18" s="44">
        <f>B18+C18+D18+E18+F18+G18</f>
        <v>0.0</v>
      </c>
    </row>
    <row r="19" spans="1:8" ht="16">
      <c r="A19" s="34" t="s">
        <v>16</v>
      </c>
      <c r="B19" s="41">
        <v>2370.24</v>
      </c>
      <c r="C19" s="41">
        <v>3083.49</v>
      </c>
      <c r="D19" s="41">
        <v>2246.6</v>
      </c>
      <c r="E19" s="41">
        <v>2267.9</v>
      </c>
      <c r="F19" s="41">
        <v>2127.06</v>
      </c>
      <c r="G19" s="41">
        <v>2136.58</v>
      </c>
      <c r="H19" s="41">
        <f>B19+C19+D19+E19+F19+G19</f>
        <v>14231.869999999999</v>
      </c>
    </row>
    <row r="20" spans="1:8" ht="16">
      <c r="A20" s="35" t="s">
        <v>17</v>
      </c>
      <c r="B20" s="42">
        <f>B15+B16+B17+B18+B19</f>
        <v>3118.24</v>
      </c>
      <c r="C20" s="42">
        <f>C15+C16+C17+C18+C19</f>
        <v>4772.01</v>
      </c>
      <c r="D20" s="42">
        <f>D15+D16+D17+D18+D19</f>
        <v>2371.6</v>
      </c>
      <c r="E20" s="42">
        <f>E15+E16+E17+E18+E19</f>
        <v>24417.030000000002</v>
      </c>
      <c r="F20" s="42">
        <f>F15+F16+F17+F18+F19</f>
        <v>4009.88</v>
      </c>
      <c r="G20" s="42">
        <f>G15+G16+G17+G18+G19</f>
        <v>4954.41</v>
      </c>
      <c r="H20" s="45">
        <f>B20+C20+D20+E20+F20+G20</f>
        <v>43643.17</v>
      </c>
    </row>
    <row r="21" spans="1:8" ht="16">
      <c r="A21" s="36" t="s">
        <v>18</v>
      </c>
      <c r="B21" s="42">
        <f>B14+B20</f>
        <v>3118.24</v>
      </c>
      <c r="C21" s="42">
        <f>C14+C20</f>
        <v>4772.01</v>
      </c>
      <c r="D21" s="42">
        <f>D14+D20</f>
        <v>2371.6</v>
      </c>
      <c r="E21" s="42">
        <f>E14+E20</f>
        <v>24417.030000000002</v>
      </c>
      <c r="F21" s="42">
        <f>F14+F20</f>
        <v>4009.88</v>
      </c>
      <c r="G21" s="42">
        <f>G14+G20</f>
        <v>4954.41</v>
      </c>
      <c r="H21" s="45">
        <f>B21+C21+D21+E21+F21+G21</f>
        <v>43643.17</v>
      </c>
    </row>
    <row r="22" spans="1:8" ht="16">
      <c r="A22" s="36" t="s">
        <v>19</v>
      </c>
      <c r="B22" s="42">
        <f>B13-B21</f>
        <v>18281.760000000002</v>
      </c>
      <c r="C22" s="42">
        <f>C13-C21</f>
        <v>13077.99</v>
      </c>
      <c r="D22" s="42">
        <f>D13-D21</f>
        <v>15138.4</v>
      </c>
      <c r="E22" s="42">
        <f>E13-E21</f>
        <v>-19867.030000000002</v>
      </c>
      <c r="F22" s="42">
        <f>F13-F21</f>
        <v>20966.789999999997</v>
      </c>
      <c r="G22" s="42">
        <f>G13-G21</f>
        <v>10434.59</v>
      </c>
      <c r="H22" s="45">
        <f>B22+C22+D22+E22+F22+G22</f>
        <v>58032.5</v>
      </c>
    </row>
    <row r="23" spans="1:8" ht="16">
      <c r="A23" s="36" t="s">
        <v>20</v>
      </c>
      <c r="B23" s="42">
        <f>B22+0</f>
        <v>18281.760000000002</v>
      </c>
      <c r="C23" s="42">
        <f>C22+0</f>
        <v>13077.99</v>
      </c>
      <c r="D23" s="42">
        <f>D22+0</f>
        <v>15138.4</v>
      </c>
      <c r="E23" s="42">
        <f>E22+0</f>
        <v>-19867.030000000002</v>
      </c>
      <c r="F23" s="42">
        <f>F22+0</f>
        <v>20966.789999999997</v>
      </c>
      <c r="G23" s="42">
        <f>G22+0</f>
        <v>10434.59</v>
      </c>
      <c r="H23" s="45">
        <f>B23+C23+D23+E23+F23+G23</f>
        <v>58032.5</v>
      </c>
    </row>
    <row r="27" spans="1:1" ht="16">
      <c r="A27" s="46" t="s">
        <v>29</v>
      </c>
    </row>
  </sheetData>
  <mergeCells count="4">
    <mergeCell ref="A1:H1"/>
    <mergeCell ref="A2:H2"/>
    <mergeCell ref="A3:H3"/>
    <mergeCell ref="A27:H2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