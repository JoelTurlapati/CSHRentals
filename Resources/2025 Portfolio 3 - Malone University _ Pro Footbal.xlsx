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" i="1" l="1"/>
</calcChain>
</file>

<file path=xl/sharedStrings.xml><?xml version="1.0" encoding="utf-8"?>
<sst xmlns="http://schemas.openxmlformats.org/spreadsheetml/2006/main" count="36" uniqueCount="36">
  <si>
    <t>SAL Investment Properties</t>
  </si>
  <si>
    <t>Profit and Loss by Class</t>
  </si>
  <si>
    <t>January-December, 2025</t>
  </si>
  <si>
    <t>Income</t>
  </si>
  <si>
    <t>LTR Rents</t>
  </si>
  <si>
    <t>Late Fee collected</t>
  </si>
  <si>
    <t>LTR Cash Receipts</t>
  </si>
  <si>
    <t>Security Deposit Income</t>
  </si>
  <si>
    <t>Total for LTR Rents</t>
  </si>
  <si>
    <t>Total for Income</t>
  </si>
  <si>
    <t>Gross Profit</t>
  </si>
  <si>
    <t>Expenses</t>
  </si>
  <si>
    <t>LTR Expenses</t>
  </si>
  <si>
    <t>Lawncare</t>
  </si>
  <si>
    <t>Repair &amp; Maintenance</t>
  </si>
  <si>
    <t>Repair Labor</t>
  </si>
  <si>
    <t>Repair Materials</t>
  </si>
  <si>
    <t>Taxes - Real Estate</t>
  </si>
  <si>
    <t>Total for LTR Expenses</t>
  </si>
  <si>
    <t>Total for Expenses</t>
  </si>
  <si>
    <t>Net Operating Income</t>
  </si>
  <si>
    <t>Net Income</t>
  </si>
  <si>
    <t/>
  </si>
  <si>
    <t>1338 25th</t>
  </si>
  <si>
    <t>1341 Ridgeway</t>
  </si>
  <si>
    <t>1344 24th</t>
  </si>
  <si>
    <t>1502 37th st nw</t>
  </si>
  <si>
    <t>1507 Ridgeway</t>
  </si>
  <si>
    <t>1511 23rd</t>
  </si>
  <si>
    <t>1540 Norwood Pl</t>
  </si>
  <si>
    <t>1569 25th st nw</t>
  </si>
  <si>
    <t>1600 27th NW</t>
  </si>
  <si>
    <t>1611 25th St NW</t>
  </si>
  <si>
    <t>1701 27th St</t>
  </si>
  <si>
    <t>Total</t>
  </si>
  <si>
    <t>Accrual Basis Tuesday, June 09, 2026 04:42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</si>
</sst>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M28"/>
  <sheetViews>
    <sheetView tabSelected="1" workbookViewId="0" topLeftCell="A1"/>
  </sheetViews>
  <sheetFormatPr defaultColWidth="11.255" defaultRowHeight="16"/>
  <cols>
    <col min="1" max="1" width="20.375" style="36" customWidth="1"/>
    <col min="2" max="2" width="8.375" style="36" customWidth="1"/>
    <col min="3" max="3" width="15.25" style="36" customWidth="1"/>
    <col min="4" max="4" width="8.375" style="36" customWidth="1"/>
    <col min="5" max="5" width="13.5" style="36" customWidth="1"/>
    <col min="6" max="6" width="11.75" style="36" customWidth="1"/>
    <col min="7" max="7" width="8.375" style="36" customWidth="1"/>
    <col min="8" max="9" width="13.5" style="36" customWidth="1"/>
    <col min="10" max="10" width="11" style="36" customWidth="1"/>
    <col min="11" max="11" width="13.5" style="36" customWidth="1"/>
    <col min="12" max="12" width="11" style="36" customWidth="1"/>
    <col min="13" max="13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13" ht="16">
      <c r="A5" s="38" t="s">
        <v>22</v>
      </c>
      <c r="B5" s="42" t="s">
        <v>23</v>
      </c>
      <c r="C5" s="42" t="s">
        <v>24</v>
      </c>
      <c r="D5" s="42" t="s">
        <v>25</v>
      </c>
      <c r="E5" s="42" t="s">
        <v>26</v>
      </c>
      <c r="F5" s="42" t="s">
        <v>27</v>
      </c>
      <c r="G5" s="42" t="s">
        <v>28</v>
      </c>
      <c r="H5" s="42" t="s">
        <v>29</v>
      </c>
      <c r="I5" s="42" t="s">
        <v>30</v>
      </c>
      <c r="J5" s="42" t="s">
        <v>31</v>
      </c>
      <c r="K5" s="42" t="s">
        <v>32</v>
      </c>
      <c r="L5" s="42" t="s">
        <v>33</v>
      </c>
      <c r="M5" s="42" t="s">
        <v>34</v>
      </c>
    </row>
    <row r="6" spans="1:12" ht="16">
      <c r="A6" s="31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3" ht="16">
      <c r="A7" s="32" t="s">
        <v>4</v>
      </c>
      <c r="B7" s="40">
        <v>17020.0</v>
      </c>
      <c r="C7" s="40">
        <v>0</v>
      </c>
      <c r="D7" s="40">
        <v>10740.0</v>
      </c>
      <c r="E7" s="40">
        <v>11250.0</v>
      </c>
      <c r="F7" s="40">
        <v>0</v>
      </c>
      <c r="G7" s="40">
        <v>15600.0</v>
      </c>
      <c r="H7" s="40">
        <v>10080.0</v>
      </c>
      <c r="I7" s="40">
        <v>15300.0</v>
      </c>
      <c r="J7" s="40">
        <v>16800.0</v>
      </c>
      <c r="K7" s="40">
        <v>8900.0</v>
      </c>
      <c r="L7" s="40">
        <v>15175.0</v>
      </c>
      <c r="M7" s="40">
        <f>B7+C7+D7+E7+F7+G7+H7+I7+J7+K7+L7</f>
        <v>120865.0</v>
      </c>
    </row>
    <row r="8" spans="1:13" ht="16">
      <c r="A8" s="33" t="s">
        <v>5</v>
      </c>
      <c r="B8" s="40">
        <v>250.0</v>
      </c>
      <c r="C8" s="40">
        <v>310.0</v>
      </c>
      <c r="D8" s="40">
        <v>150.0</v>
      </c>
      <c r="E8" s="40">
        <v>475.0</v>
      </c>
      <c r="F8" s="40">
        <v>150.0</v>
      </c>
      <c r="G8" s="40">
        <v>50.0</v>
      </c>
      <c r="H8" s="40">
        <v>150.0</v>
      </c>
      <c r="I8" s="40">
        <v>0</v>
      </c>
      <c r="J8" s="40">
        <v>150.0</v>
      </c>
      <c r="K8" s="40">
        <v>320.0</v>
      </c>
      <c r="L8" s="39"/>
      <c r="M8" s="40">
        <f>B8+C8+D8+E8+F8+G8+H8+I8+J8+K8+L8</f>
        <v>2005.0</v>
      </c>
    </row>
    <row r="9" spans="1:13" ht="16">
      <c r="A9" s="33" t="s">
        <v>6</v>
      </c>
      <c r="B9" s="39"/>
      <c r="C9" s="40">
        <v>15120.0</v>
      </c>
      <c r="D9" s="40">
        <v>0</v>
      </c>
      <c r="E9" s="40">
        <v>2250.0</v>
      </c>
      <c r="F9" s="40">
        <v>14638.0</v>
      </c>
      <c r="G9" s="40">
        <v>0</v>
      </c>
      <c r="H9" s="40">
        <v>5040.0</v>
      </c>
      <c r="I9" s="40">
        <v>0</v>
      </c>
      <c r="J9" s="40">
        <v>0</v>
      </c>
      <c r="K9" s="40">
        <v>2500.0</v>
      </c>
      <c r="L9" s="40">
        <v>0</v>
      </c>
      <c r="M9" s="40">
        <f>B9+C9+D9+E9+F9+G9+H9+I9+J9+K9+L9</f>
        <v>39548.0</v>
      </c>
    </row>
    <row r="10" spans="1:13" ht="16">
      <c r="A10" s="33" t="s">
        <v>7</v>
      </c>
      <c r="B10" s="39"/>
      <c r="C10" s="39"/>
      <c r="D10" s="40">
        <v>2560.0</v>
      </c>
      <c r="E10" s="39"/>
      <c r="F10" s="40">
        <v>1250.0</v>
      </c>
      <c r="G10" s="39"/>
      <c r="H10" s="39"/>
      <c r="I10" s="39"/>
      <c r="J10" s="39"/>
      <c r="K10" s="40">
        <v>0</v>
      </c>
      <c r="L10" s="39"/>
      <c r="M10" s="40">
        <f>B10+C10+D10+E10+F10+G10+H10+I10+J10+K10+L10</f>
        <v>3810.0</v>
      </c>
    </row>
    <row r="11" spans="1:13" ht="16">
      <c r="A11" s="34" t="s">
        <v>8</v>
      </c>
      <c r="B11" s="41">
        <f>B7+B8+B9+B10</f>
        <v>17270.0</v>
      </c>
      <c r="C11" s="41">
        <f>C7+C8+C9+C10</f>
        <v>15430.0</v>
      </c>
      <c r="D11" s="41">
        <f>D7+D8+D9+D10</f>
        <v>13450.0</v>
      </c>
      <c r="E11" s="41">
        <f>E7+E8+E9+E10</f>
        <v>13975.0</v>
      </c>
      <c r="F11" s="41">
        <f>F7+F8+F9+F10</f>
        <v>16038.0</v>
      </c>
      <c r="G11" s="41">
        <f>G7+G8+G9+G10</f>
        <v>15650.0</v>
      </c>
      <c r="H11" s="41">
        <f>H7+H8+H9+H10</f>
        <v>15270.0</v>
      </c>
      <c r="I11" s="41">
        <f>I7+I8+I9+I10</f>
        <v>15300.0</v>
      </c>
      <c r="J11" s="41">
        <f>J7+J8+J9+J10</f>
        <v>16950.0</v>
      </c>
      <c r="K11" s="41">
        <f>K7+K8+K9+K10</f>
        <v>11720.0</v>
      </c>
      <c r="L11" s="41">
        <f>L7+L8+L9+L10</f>
        <v>15175.0</v>
      </c>
      <c r="M11" s="43">
        <f>B11+C11+D11+E11+F11+G11+H11+I11+J11+K11+L11</f>
        <v>166228.0</v>
      </c>
    </row>
    <row r="12" spans="1:13" ht="16">
      <c r="A12" s="35" t="s">
        <v>9</v>
      </c>
      <c r="B12" s="41">
        <f>B6+B11</f>
        <v>17270.0</v>
      </c>
      <c r="C12" s="41">
        <f>C6+C11</f>
        <v>15430.0</v>
      </c>
      <c r="D12" s="41">
        <f>D6+D11</f>
        <v>13450.0</v>
      </c>
      <c r="E12" s="41">
        <f>E6+E11</f>
        <v>13975.0</v>
      </c>
      <c r="F12" s="41">
        <f>F6+F11</f>
        <v>16038.0</v>
      </c>
      <c r="G12" s="41">
        <f>G6+G11</f>
        <v>15650.0</v>
      </c>
      <c r="H12" s="41">
        <f>H6+H11</f>
        <v>15270.0</v>
      </c>
      <c r="I12" s="41">
        <f>I6+I11</f>
        <v>15300.0</v>
      </c>
      <c r="J12" s="41">
        <f>J6+J11</f>
        <v>16950.0</v>
      </c>
      <c r="K12" s="41">
        <f>K6+K11</f>
        <v>11720.0</v>
      </c>
      <c r="L12" s="41">
        <f>L6+L11</f>
        <v>15175.0</v>
      </c>
      <c r="M12" s="43">
        <f>B12+C12+D12+E12+F12+G12+H12+I12+J12+K12+L12</f>
        <v>166228.0</v>
      </c>
    </row>
    <row r="13" spans="1:13" ht="16">
      <c r="A13" s="35" t="s">
        <v>10</v>
      </c>
      <c r="B13" s="41">
        <f>B12-0</f>
        <v>17270.0</v>
      </c>
      <c r="C13" s="41">
        <f>C12-0</f>
        <v>15430.0</v>
      </c>
      <c r="D13" s="41">
        <f>D12-0</f>
        <v>13450.0</v>
      </c>
      <c r="E13" s="41">
        <f>E12-0</f>
        <v>13975.0</v>
      </c>
      <c r="F13" s="41">
        <f>F12-0</f>
        <v>16038.0</v>
      </c>
      <c r="G13" s="41">
        <f>G12-0</f>
        <v>15650.0</v>
      </c>
      <c r="H13" s="41">
        <f>H12-0</f>
        <v>15270.0</v>
      </c>
      <c r="I13" s="41">
        <f>I12-0</f>
        <v>15300.0</v>
      </c>
      <c r="J13" s="41">
        <f>J12-0</f>
        <v>16950.0</v>
      </c>
      <c r="K13" s="41">
        <f>K12-0</f>
        <v>11720.0</v>
      </c>
      <c r="L13" s="41">
        <f>L12-0</f>
        <v>15175.0</v>
      </c>
      <c r="M13" s="43">
        <f>B13+C13+D13+E13+F13+G13+H13+I13+J13+K13+L13</f>
        <v>166228.0</v>
      </c>
    </row>
    <row r="14" spans="1:12" ht="16">
      <c r="A14" s="31" t="s">
        <v>11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</row>
    <row r="15" spans="1:13" ht="16">
      <c r="A15" s="32" t="s">
        <v>12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1:13" ht="16">
      <c r="A16" s="33" t="s">
        <v>13</v>
      </c>
      <c r="B16" s="39"/>
      <c r="C16" s="39"/>
      <c r="D16" s="40">
        <v>275.0</v>
      </c>
      <c r="E16" s="39"/>
      <c r="F16" s="39"/>
      <c r="G16" s="39"/>
      <c r="H16" s="39"/>
      <c r="I16" s="39"/>
      <c r="J16" s="39"/>
      <c r="K16" s="40">
        <v>165.0</v>
      </c>
      <c r="L16" s="39"/>
      <c r="M16" s="40">
        <f>B16+C16+D16+E16+F16+G16+H16+I16+J16+K16+L16</f>
        <v>440.0</v>
      </c>
    </row>
    <row r="17" spans="1:13" ht="16">
      <c r="A17" s="33" t="s">
        <v>14</v>
      </c>
      <c r="B17" s="39"/>
      <c r="C17" s="40">
        <v>3946.06</v>
      </c>
      <c r="D17" s="40">
        <v>1568.32</v>
      </c>
      <c r="E17" s="39"/>
      <c r="F17" s="40">
        <v>175.0</v>
      </c>
      <c r="G17" s="39"/>
      <c r="H17" s="39"/>
      <c r="I17" s="39"/>
      <c r="J17" s="39"/>
      <c r="K17" s="40">
        <v>652.89</v>
      </c>
      <c r="L17" s="39"/>
      <c r="M17" s="40">
        <f>B17+C17+D17+E17+F17+G17+H17+I17+J17+K17+L17</f>
        <v>6342.27</v>
      </c>
    </row>
    <row r="18" spans="1:13" ht="16">
      <c r="A18" s="33" t="s">
        <v>15</v>
      </c>
      <c r="B18" s="39"/>
      <c r="C18" s="40">
        <v>3186.95</v>
      </c>
      <c r="D18" s="40">
        <v>1058.66</v>
      </c>
      <c r="E18" s="39"/>
      <c r="F18" s="40">
        <v>2067.93</v>
      </c>
      <c r="G18" s="40">
        <v>3589.43</v>
      </c>
      <c r="H18" s="40">
        <v>360.85</v>
      </c>
      <c r="I18" s="40">
        <v>1421.75</v>
      </c>
      <c r="J18" s="39"/>
      <c r="K18" s="40">
        <v>2153.02</v>
      </c>
      <c r="L18" s="39"/>
      <c r="M18" s="40">
        <f>B18+C18+D18+E18+F18+G18+H18+I18+J18+K18+L18</f>
        <v>13838.59</v>
      </c>
    </row>
    <row r="19" spans="1:13" ht="16">
      <c r="A19" s="33" t="s">
        <v>16</v>
      </c>
      <c r="B19" s="39"/>
      <c r="C19" s="39"/>
      <c r="D19" s="39"/>
      <c r="E19" s="39"/>
      <c r="F19" s="39"/>
      <c r="G19" s="39"/>
      <c r="H19" s="39"/>
      <c r="I19" s="39"/>
      <c r="J19" s="39"/>
      <c r="K19" s="40">
        <v>68.95</v>
      </c>
      <c r="L19" s="39"/>
      <c r="M19" s="40">
        <f>B19+C19+D19+E19+F19+G19+H19+I19+J19+K19+L19</f>
        <v>68.95</v>
      </c>
    </row>
    <row r="20" spans="1:13" ht="16">
      <c r="A20" s="33" t="s">
        <v>17</v>
      </c>
      <c r="B20" s="40">
        <v>1613.96</v>
      </c>
      <c r="C20" s="40">
        <v>1717.54</v>
      </c>
      <c r="D20" s="40">
        <v>1344.48</v>
      </c>
      <c r="E20" s="40">
        <v>1096.92</v>
      </c>
      <c r="F20" s="40">
        <v>689.36</v>
      </c>
      <c r="G20" s="40">
        <v>1598.72</v>
      </c>
      <c r="H20" s="40">
        <v>1311.0</v>
      </c>
      <c r="I20" s="40">
        <v>1248.74</v>
      </c>
      <c r="J20" s="40">
        <v>1550.4</v>
      </c>
      <c r="K20" s="40">
        <v>1196.48</v>
      </c>
      <c r="L20" s="40">
        <v>1860.8</v>
      </c>
      <c r="M20" s="40">
        <f>B20+C20+D20+E20+F20+G20+H20+I20+J20+K20+L20</f>
        <v>15228.399999999998</v>
      </c>
    </row>
    <row r="21" spans="1:13" ht="16">
      <c r="A21" s="34" t="s">
        <v>18</v>
      </c>
      <c r="B21" s="41">
        <f>B15+B16+B17+B18+B19+B20</f>
        <v>1613.96</v>
      </c>
      <c r="C21" s="41">
        <f>C15+C16+C17+C18+C19+C20</f>
        <v>8850.55</v>
      </c>
      <c r="D21" s="41">
        <f>D15+D16+D17+D18+D19+D20</f>
        <v>4246.46</v>
      </c>
      <c r="E21" s="41">
        <f>E15+E16+E17+E18+E19+E20</f>
        <v>1096.92</v>
      </c>
      <c r="F21" s="41">
        <f>F15+F16+F17+F18+F19+F20</f>
        <v>2932.29</v>
      </c>
      <c r="G21" s="41">
        <f>G15+G16+G17+G18+G19+G20</f>
        <v>5188.15</v>
      </c>
      <c r="H21" s="41">
        <f>H15+H16+H17+H18+H19+H20</f>
        <v>1671.85</v>
      </c>
      <c r="I21" s="41">
        <f>I15+I16+I17+I18+I19+I20</f>
        <v>2670.49</v>
      </c>
      <c r="J21" s="41">
        <f>J15+J16+J17+J18+J19+J20</f>
        <v>1550.4</v>
      </c>
      <c r="K21" s="41">
        <f>K15+K16+K17+K18+K19+K20</f>
        <v>4236.34</v>
      </c>
      <c r="L21" s="41">
        <f>L15+L16+L17+L18+L19+L20</f>
        <v>1860.8</v>
      </c>
      <c r="M21" s="43">
        <f>B21+C21+D21+E21+F21+G21+H21+I21+J21+K21+L21</f>
        <v>35918.20999999999</v>
      </c>
    </row>
    <row r="22" spans="1:13" ht="16">
      <c r="A22" s="35" t="s">
        <v>19</v>
      </c>
      <c r="B22" s="41">
        <f>B14+B21</f>
        <v>1613.96</v>
      </c>
      <c r="C22" s="41">
        <f>C14+C21</f>
        <v>8850.55</v>
      </c>
      <c r="D22" s="41">
        <f>D14+D21</f>
        <v>4246.46</v>
      </c>
      <c r="E22" s="41">
        <f>E14+E21</f>
        <v>1096.92</v>
      </c>
      <c r="F22" s="41">
        <f>F14+F21</f>
        <v>2932.29</v>
      </c>
      <c r="G22" s="41">
        <f>G14+G21</f>
        <v>5188.15</v>
      </c>
      <c r="H22" s="41">
        <f>H14+H21</f>
        <v>1671.85</v>
      </c>
      <c r="I22" s="41">
        <f>I14+I21</f>
        <v>2670.49</v>
      </c>
      <c r="J22" s="41">
        <f>J14+J21</f>
        <v>1550.4</v>
      </c>
      <c r="K22" s="41">
        <f>K14+K21</f>
        <v>4236.34</v>
      </c>
      <c r="L22" s="41">
        <f>L14+L21</f>
        <v>1860.8</v>
      </c>
      <c r="M22" s="43">
        <f>B22+C22+D22+E22+F22+G22+H22+I22+J22+K22+L22</f>
        <v>35918.20999999999</v>
      </c>
    </row>
    <row r="23" spans="1:13" ht="16">
      <c r="A23" s="35" t="s">
        <v>20</v>
      </c>
      <c r="B23" s="41">
        <f>B13-B22</f>
        <v>15656.04</v>
      </c>
      <c r="C23" s="41">
        <f>C13-C22</f>
        <v>6579.450000000001</v>
      </c>
      <c r="D23" s="41">
        <f>D13-D22</f>
        <v>9203.54</v>
      </c>
      <c r="E23" s="41">
        <f>E13-E22</f>
        <v>12878.08</v>
      </c>
      <c r="F23" s="41">
        <f>F13-F22</f>
        <v>13105.71</v>
      </c>
      <c r="G23" s="41">
        <f>G13-G22</f>
        <v>10461.85</v>
      </c>
      <c r="H23" s="41">
        <f>H13-H22</f>
        <v>13598.15</v>
      </c>
      <c r="I23" s="41">
        <f>I13-I22</f>
        <v>12629.51</v>
      </c>
      <c r="J23" s="41">
        <f>J13-J22</f>
        <v>15399.6</v>
      </c>
      <c r="K23" s="41">
        <f>K13-K22</f>
        <v>7483.66</v>
      </c>
      <c r="L23" s="41">
        <f>L13-L22</f>
        <v>13314.2</v>
      </c>
      <c r="M23" s="43">
        <f>B23+C23+D23+E23+F23+G23+H23+I23+J23+K23+L23</f>
        <v>130309.79</v>
      </c>
    </row>
    <row r="24" spans="1:13" ht="16">
      <c r="A24" s="35" t="s">
        <v>21</v>
      </c>
      <c r="B24" s="41">
        <f>B23+0</f>
        <v>15656.04</v>
      </c>
      <c r="C24" s="41">
        <f>C23+0</f>
        <v>6579.450000000001</v>
      </c>
      <c r="D24" s="41">
        <f>D23+0</f>
        <v>9203.54</v>
      </c>
      <c r="E24" s="41">
        <f>E23+0</f>
        <v>12878.08</v>
      </c>
      <c r="F24" s="41">
        <f>F23+0</f>
        <v>13105.71</v>
      </c>
      <c r="G24" s="41">
        <f>G23+0</f>
        <v>10461.85</v>
      </c>
      <c r="H24" s="41">
        <f>H23+0</f>
        <v>13598.15</v>
      </c>
      <c r="I24" s="41">
        <f>I23+0</f>
        <v>12629.51</v>
      </c>
      <c r="J24" s="41">
        <f>J23+0</f>
        <v>15399.6</v>
      </c>
      <c r="K24" s="41">
        <f>K23+0</f>
        <v>7483.66</v>
      </c>
      <c r="L24" s="41">
        <f>L23+0</f>
        <v>13314.2</v>
      </c>
      <c r="M24" s="43">
        <f>B24+C24+D24+E24+F24+G24+H24+I24+J24+K24+L24</f>
        <v>130309.79</v>
      </c>
    </row>
    <row r="28" spans="1:1" ht="16">
      <c r="A28" s="44" t="s">
        <v>35</v>
      </c>
    </row>
  </sheetData>
  <mergeCells count="4">
    <mergeCell ref="A1:M1"/>
    <mergeCell ref="A2:M2"/>
    <mergeCell ref="A3:M3"/>
    <mergeCell ref="A28:M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