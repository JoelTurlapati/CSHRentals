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</calcChain>
</file>

<file path=xl/sharedStrings.xml><?xml version="1.0" encoding="utf-8"?>
<sst xmlns="http://schemas.openxmlformats.org/spreadsheetml/2006/main" count="35" uniqueCount="35">
  <si>
    <t>SAL Investment Properties</t>
  </si>
  <si>
    <t>Profit and Loss by Class</t>
  </si>
  <si>
    <t>January-December, 2024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</si>
  <si>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</si>
  <si>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</si>
  <si>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</si>
  <si>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</si>
  <si>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</si>
  <si>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</si>
  <si>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</si>
  <si>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</si>
  <si>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</si>
  <si>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</si>
  <si>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QuickBooks Payments Fees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</si>
  <si>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</si>
  <si>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</si>
  <si>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</si>
  <si>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</si>
  <si>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</si>
  <si>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</si>
  <si>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</si>
  <si>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</si>
  <si>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1338 25th</t>
  </si>
  <si>
    <t>1341 Ridgeway</t>
  </si>
  <si>
    <t>1344 24th</t>
  </si>
  <si>
    <t>1502 37th st nw</t>
  </si>
  <si>
    <t>1507 Ridgeway</t>
  </si>
  <si>
    <t>1511 23rd</t>
  </si>
  <si>
    <t>1540 Norwood Pl</t>
  </si>
  <si>
    <t>1569 25th st nw</t>
  </si>
  <si>
    <t>1600 27th NW</t>
  </si>
  <si>
    <t>1611 25th St NW</t>
  </si>
  <si>
    <t>1701 27th St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</si>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</sst>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27"/>
  <sheetViews>
    <sheetView tabSelected="1" workbookViewId="0" topLeftCell="A1"/>
  </sheetViews>
  <sheetFormatPr defaultColWidth="11.255" defaultRowHeight="16"/>
  <cols>
    <col min="1" max="1" width="21.25" style="36" customWidth="1"/>
    <col min="2" max="2" width="16.125" style="36" customWidth="1"/>
    <col min="3" max="3" width="11.75" style="36" customWidth="1"/>
    <col min="4" max="4" width="16.125" style="36" customWidth="1"/>
    <col min="5" max="5" width="13.5" style="36" customWidth="1"/>
    <col min="6" max="6" width="16.125" style="36" customWidth="1"/>
    <col min="7" max="7" width="8.375" style="36" customWidth="1"/>
    <col min="8" max="9" width="13.5" style="36" customWidth="1"/>
    <col min="10" max="10" width="11" style="36" customWidth="1"/>
    <col min="11" max="11" width="16.125" style="36" customWidth="1"/>
    <col min="12" max="12" width="11" style="36" customWidth="1"/>
    <col min="13" max="13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3" ht="16">
      <c r="A5" s="38" t="s">
        <v>21</v>
      </c>
      <c r="B5" s="42" t="s">
        <v>22</v>
      </c>
      <c r="C5" s="42" t="s">
        <v>23</v>
      </c>
      <c r="D5" s="42" t="s">
        <v>24</v>
      </c>
      <c r="E5" s="42" t="s">
        <v>25</v>
      </c>
      <c r="F5" s="42" t="s">
        <v>26</v>
      </c>
      <c r="G5" s="42" t="s">
        <v>27</v>
      </c>
      <c r="H5" s="42" t="s">
        <v>28</v>
      </c>
      <c r="I5" s="42" t="s">
        <v>29</v>
      </c>
      <c r="J5" s="42" t="s">
        <v>30</v>
      </c>
      <c r="K5" s="42" t="s">
        <v>31</v>
      </c>
      <c r="L5" s="42" t="s">
        <v>32</v>
      </c>
      <c r="M5" s="42" t="s">
        <v>33</v>
      </c>
    </row>
    <row r="6" spans="1:12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3" ht="16">
      <c r="A7" s="32" t="s">
        <v>4</v>
      </c>
      <c r="B7" s="40">
        <v>16420.0</v>
      </c>
      <c r="C7" s="40">
        <v>2510.0</v>
      </c>
      <c r="D7" s="40">
        <v>15595.88</v>
      </c>
      <c r="E7" s="40">
        <v>13800.0</v>
      </c>
      <c r="F7" s="40">
        <v>8160.0</v>
      </c>
      <c r="G7" s="40">
        <v>15180.0</v>
      </c>
      <c r="H7" s="40">
        <v>13724.0</v>
      </c>
      <c r="I7" s="40">
        <v>14985.0</v>
      </c>
      <c r="J7" s="40">
        <v>16125.0</v>
      </c>
      <c r="K7" s="40">
        <v>10800.0</v>
      </c>
      <c r="L7" s="40">
        <v>15000.0</v>
      </c>
      <c r="M7" s="40">
        <f>B7+C7+D7+E7+F7+G7+H7+I7+J7+K7+L7</f>
        <v>142299.88</v>
      </c>
    </row>
    <row r="8" spans="1:13" ht="16">
      <c r="A8" s="33" t="s">
        <v>5</v>
      </c>
      <c r="B8" s="40">
        <v>120.0</v>
      </c>
      <c r="C8" s="40">
        <v>55.0</v>
      </c>
      <c r="D8" s="40">
        <v>160.0</v>
      </c>
      <c r="E8" s="40">
        <v>215.0</v>
      </c>
      <c r="F8" s="40">
        <v>180.0</v>
      </c>
      <c r="G8" s="40">
        <v>50.0</v>
      </c>
      <c r="H8" s="40">
        <v>30.0</v>
      </c>
      <c r="I8" s="39"/>
      <c r="J8" s="40">
        <v>160.0</v>
      </c>
      <c r="K8" s="40">
        <v>70.0</v>
      </c>
      <c r="L8" s="39"/>
      <c r="M8" s="40">
        <f>B8+C8+D8+E8+F8+G8+H8+I8+J8+K8+L8</f>
        <v>1040.0</v>
      </c>
    </row>
    <row r="9" spans="1:13" ht="16">
      <c r="A9" s="33" t="s">
        <v>6</v>
      </c>
      <c r="B9" s="39"/>
      <c r="C9" s="40">
        <v>9120.0</v>
      </c>
      <c r="D9" s="39"/>
      <c r="E9" s="39"/>
      <c r="F9" s="39"/>
      <c r="G9" s="39"/>
      <c r="H9" s="39"/>
      <c r="I9" s="39"/>
      <c r="J9" s="39"/>
      <c r="K9" s="40">
        <v>1200.0</v>
      </c>
      <c r="L9" s="39"/>
      <c r="M9" s="40">
        <f>B9+C9+D9+E9+F9+G9+H9+I9+J9+K9+L9</f>
        <v>10320.0</v>
      </c>
    </row>
    <row r="10" spans="1:13" ht="16">
      <c r="A10" s="33" t="s">
        <v>7</v>
      </c>
      <c r="B10" s="39"/>
      <c r="C10" s="40">
        <v>4465.0</v>
      </c>
      <c r="D10" s="39"/>
      <c r="E10" s="39"/>
      <c r="F10" s="39"/>
      <c r="G10" s="39"/>
      <c r="H10" s="39"/>
      <c r="I10" s="39"/>
      <c r="J10" s="39"/>
      <c r="K10" s="40">
        <v>1650.0</v>
      </c>
      <c r="L10" s="39"/>
      <c r="M10" s="40">
        <f>B10+C10+D10+E10+F10+G10+H10+I10+J10+K10+L10</f>
        <v>6115.0</v>
      </c>
    </row>
    <row r="11" spans="1:13" ht="16">
      <c r="A11" s="34" t="s">
        <v>8</v>
      </c>
      <c r="B11" s="41">
        <f>B7+B8+B9+B10</f>
        <v>16540.0</v>
      </c>
      <c r="C11" s="41">
        <f>C7+C8+C9+C10</f>
        <v>16150.0</v>
      </c>
      <c r="D11" s="41">
        <f>D7+D8+D9+D10</f>
        <v>15755.88</v>
      </c>
      <c r="E11" s="41">
        <f>E7+E8+E9+E10</f>
        <v>14015.0</v>
      </c>
      <c r="F11" s="41">
        <f>F7+F8+F9+F10</f>
        <v>8340.0</v>
      </c>
      <c r="G11" s="41">
        <f>G7+G8+G9+G10</f>
        <v>15230.0</v>
      </c>
      <c r="H11" s="41">
        <f>H7+H8+H9+H10</f>
        <v>13754.0</v>
      </c>
      <c r="I11" s="41">
        <f>I7+I8+I9+I10</f>
        <v>14985.0</v>
      </c>
      <c r="J11" s="41">
        <f>J7+J8+J9+J10</f>
        <v>16285.0</v>
      </c>
      <c r="K11" s="41">
        <f>K7+K8+K9+K10</f>
        <v>13720.0</v>
      </c>
      <c r="L11" s="41">
        <f>L7+L8+L9+L10</f>
        <v>15000.0</v>
      </c>
      <c r="M11" s="43">
        <f>B11+C11+D11+E11+F11+G11+H11+I11+J11+K11+L11</f>
        <v>159774.88</v>
      </c>
    </row>
    <row r="12" spans="1:13" ht="16">
      <c r="A12" s="35" t="s">
        <v>9</v>
      </c>
      <c r="B12" s="41">
        <f>B6+B11</f>
        <v>16540.0</v>
      </c>
      <c r="C12" s="41">
        <f>C6+C11</f>
        <v>16150.0</v>
      </c>
      <c r="D12" s="41">
        <f>D6+D11</f>
        <v>15755.88</v>
      </c>
      <c r="E12" s="41">
        <f>E6+E11</f>
        <v>14015.0</v>
      </c>
      <c r="F12" s="41">
        <f>F6+F11</f>
        <v>8340.0</v>
      </c>
      <c r="G12" s="41">
        <f>G6+G11</f>
        <v>15230.0</v>
      </c>
      <c r="H12" s="41">
        <f>H6+H11</f>
        <v>13754.0</v>
      </c>
      <c r="I12" s="41">
        <f>I6+I11</f>
        <v>14985.0</v>
      </c>
      <c r="J12" s="41">
        <f>J6+J11</f>
        <v>16285.0</v>
      </c>
      <c r="K12" s="41">
        <f>K6+K11</f>
        <v>13720.0</v>
      </c>
      <c r="L12" s="41">
        <f>L6+L11</f>
        <v>15000.0</v>
      </c>
      <c r="M12" s="43">
        <f>B12+C12+D12+E12+F12+G12+H12+I12+J12+K12+L12</f>
        <v>159774.88</v>
      </c>
    </row>
    <row r="13" spans="1:13" ht="16">
      <c r="A13" s="35" t="s">
        <v>10</v>
      </c>
      <c r="B13" s="41">
        <f>B12-0</f>
        <v>16540.0</v>
      </c>
      <c r="C13" s="41">
        <f>C12-0</f>
        <v>16150.0</v>
      </c>
      <c r="D13" s="41">
        <f>D12-0</f>
        <v>15755.88</v>
      </c>
      <c r="E13" s="41">
        <f>E12-0</f>
        <v>14015.0</v>
      </c>
      <c r="F13" s="41">
        <f>F12-0</f>
        <v>8340.0</v>
      </c>
      <c r="G13" s="41">
        <f>G12-0</f>
        <v>15230.0</v>
      </c>
      <c r="H13" s="41">
        <f>H12-0</f>
        <v>13754.0</v>
      </c>
      <c r="I13" s="41">
        <f>I12-0</f>
        <v>14985.0</v>
      </c>
      <c r="J13" s="41">
        <f>J12-0</f>
        <v>16285.0</v>
      </c>
      <c r="K13" s="41">
        <f>K12-0</f>
        <v>13720.0</v>
      </c>
      <c r="L13" s="41">
        <f>L12-0</f>
        <v>15000.0</v>
      </c>
      <c r="M13" s="43">
        <f>B13+C13+D13+E13+F13+G13+H13+I13+J13+K13+L13</f>
        <v>159774.88</v>
      </c>
    </row>
    <row r="14" spans="1:12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3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ht="16">
      <c r="A16" s="33" t="s">
        <v>13</v>
      </c>
      <c r="B16" s="39"/>
      <c r="C16" s="39"/>
      <c r="D16" s="40">
        <v>10.0</v>
      </c>
      <c r="E16" s="40">
        <v>1150.0</v>
      </c>
      <c r="F16" s="40">
        <v>500.0</v>
      </c>
      <c r="G16" s="40">
        <v>50.0</v>
      </c>
      <c r="H16" s="39"/>
      <c r="I16" s="39"/>
      <c r="J16" s="40">
        <v>10.0</v>
      </c>
      <c r="K16" s="39"/>
      <c r="L16" s="39"/>
      <c r="M16" s="40">
        <f>B16+C16+D16+E16+F16+G16+H16+I16+J16+K16+L16</f>
        <v>1720.0</v>
      </c>
    </row>
    <row r="17" spans="1:13" ht="16">
      <c r="A17" s="33" t="s">
        <v>14</v>
      </c>
      <c r="B17" s="40">
        <v>121.46</v>
      </c>
      <c r="C17" s="40">
        <v>2579.32</v>
      </c>
      <c r="D17" s="40">
        <v>924.07</v>
      </c>
      <c r="E17" s="40">
        <v>1130.0</v>
      </c>
      <c r="F17" s="40">
        <v>8916.27</v>
      </c>
      <c r="G17" s="40">
        <v>298.65</v>
      </c>
      <c r="H17" s="40">
        <v>1628.75</v>
      </c>
      <c r="I17" s="40">
        <v>155.0</v>
      </c>
      <c r="J17" s="40">
        <v>1018.0</v>
      </c>
      <c r="K17" s="40">
        <v>1793.14</v>
      </c>
      <c r="L17" s="40">
        <v>1392.27</v>
      </c>
      <c r="M17" s="40">
        <f>B17+C17+D17+E17+F17+G17+H17+I17+J17+K17+L17</f>
        <v>19956.93</v>
      </c>
    </row>
    <row r="18" spans="1:13" ht="16">
      <c r="A18" s="33" t="s">
        <v>15</v>
      </c>
      <c r="B18" s="39"/>
      <c r="C18" s="39"/>
      <c r="D18" s="39"/>
      <c r="E18" s="39"/>
      <c r="F18" s="39"/>
      <c r="G18" s="39"/>
      <c r="H18" s="39"/>
      <c r="I18" s="39"/>
      <c r="J18" s="39"/>
      <c r="K18" s="40">
        <v>18.35</v>
      </c>
      <c r="L18" s="39"/>
      <c r="M18" s="40">
        <f>B18+C18+D18+E18+F18+G18+H18+I18+J18+K18+L18</f>
        <v>18.35</v>
      </c>
    </row>
    <row r="19" spans="1:13" ht="16">
      <c r="A19" s="33" t="s">
        <v>16</v>
      </c>
      <c r="B19" s="40">
        <v>1400.16</v>
      </c>
      <c r="C19" s="40">
        <v>1820.32</v>
      </c>
      <c r="D19" s="40">
        <v>1511.64</v>
      </c>
      <c r="E19" s="40">
        <v>1185.08</v>
      </c>
      <c r="F19" s="40">
        <v>990.94</v>
      </c>
      <c r="G19" s="40">
        <v>1464.7</v>
      </c>
      <c r="H19" s="40">
        <v>1457.98</v>
      </c>
      <c r="I19" s="40">
        <v>961.7</v>
      </c>
      <c r="J19" s="40">
        <v>1519.52</v>
      </c>
      <c r="K19" s="40">
        <v>1457.98</v>
      </c>
      <c r="L19" s="40">
        <v>1662.58</v>
      </c>
      <c r="M19" s="40">
        <f>B19+C19+D19+E19+F19+G19+H19+I19+J19+K19+L19</f>
        <v>15432.6</v>
      </c>
    </row>
    <row r="20" spans="1:13" ht="16">
      <c r="A20" s="34" t="s">
        <v>17</v>
      </c>
      <c r="B20" s="41">
        <f>B15+B16+B17+B18+B19</f>
        <v>1521.6200000000001</v>
      </c>
      <c r="C20" s="41">
        <f>C15+C16+C17+C18+C19</f>
        <v>4399.64</v>
      </c>
      <c r="D20" s="41">
        <f>D15+D16+D17+D18+D19</f>
        <v>2445.71</v>
      </c>
      <c r="E20" s="41">
        <f>E15+E16+E17+E18+E19</f>
        <v>3465.08</v>
      </c>
      <c r="F20" s="41">
        <f>F15+F16+F17+F18+F19</f>
        <v>10407.210000000001</v>
      </c>
      <c r="G20" s="41">
        <f>G15+G16+G17+G18+G19</f>
        <v>1813.35</v>
      </c>
      <c r="H20" s="41">
        <f>H15+H16+H17+H18+H19</f>
        <v>3086.73</v>
      </c>
      <c r="I20" s="41">
        <f>I15+I16+I17+I18+I19</f>
        <v>1116.7</v>
      </c>
      <c r="J20" s="41">
        <f>J15+J16+J17+J18+J19</f>
        <v>2547.52</v>
      </c>
      <c r="K20" s="41">
        <f>K15+K16+K17+K18+K19</f>
        <v>3269.4700000000003</v>
      </c>
      <c r="L20" s="41">
        <f>L15+L16+L17+L18+L19</f>
        <v>3054.85</v>
      </c>
      <c r="M20" s="43">
        <f>B20+C20+D20+E20+F20+G20+H20+I20+J20+K20+L20</f>
        <v>37127.88</v>
      </c>
    </row>
    <row r="21" spans="1:13" ht="16">
      <c r="A21" s="35" t="s">
        <v>18</v>
      </c>
      <c r="B21" s="41">
        <f>B14+B20</f>
        <v>1521.6200000000001</v>
      </c>
      <c r="C21" s="41">
        <f>C14+C20</f>
        <v>4399.64</v>
      </c>
      <c r="D21" s="41">
        <f>D14+D20</f>
        <v>2445.71</v>
      </c>
      <c r="E21" s="41">
        <f>E14+E20</f>
        <v>3465.08</v>
      </c>
      <c r="F21" s="41">
        <f>F14+F20</f>
        <v>10407.210000000001</v>
      </c>
      <c r="G21" s="41">
        <f>G14+G20</f>
        <v>1813.35</v>
      </c>
      <c r="H21" s="41">
        <f>H14+H20</f>
        <v>3086.73</v>
      </c>
      <c r="I21" s="41">
        <f>I14+I20</f>
        <v>1116.7</v>
      </c>
      <c r="J21" s="41">
        <f>J14+J20</f>
        <v>2547.52</v>
      </c>
      <c r="K21" s="41">
        <f>K14+K20</f>
        <v>3269.4700000000003</v>
      </c>
      <c r="L21" s="41">
        <f>L14+L20</f>
        <v>3054.85</v>
      </c>
      <c r="M21" s="43">
        <f>B21+C21+D21+E21+F21+G21+H21+I21+J21+K21+L21</f>
        <v>37127.88</v>
      </c>
    </row>
    <row r="22" spans="1:13" ht="16">
      <c r="A22" s="35" t="s">
        <v>19</v>
      </c>
      <c r="B22" s="41">
        <f>B13-B21</f>
        <v>15018.38</v>
      </c>
      <c r="C22" s="41">
        <f>C13-C21</f>
        <v>11750.36</v>
      </c>
      <c r="D22" s="41">
        <f>D13-D21</f>
        <v>13310.169999999998</v>
      </c>
      <c r="E22" s="41">
        <f>E13-E21</f>
        <v>10549.92</v>
      </c>
      <c r="F22" s="41">
        <f>F13-F21</f>
        <v>-2067.210000000001</v>
      </c>
      <c r="G22" s="41">
        <f>G13-G21</f>
        <v>13416.65</v>
      </c>
      <c r="H22" s="41">
        <f>H13-H21</f>
        <v>10667.27</v>
      </c>
      <c r="I22" s="41">
        <f>I13-I21</f>
        <v>13868.3</v>
      </c>
      <c r="J22" s="41">
        <f>J13-J21</f>
        <v>13737.48</v>
      </c>
      <c r="K22" s="41">
        <f>K13-K21</f>
        <v>10450.529999999999</v>
      </c>
      <c r="L22" s="41">
        <f>L13-L21</f>
        <v>11945.15</v>
      </c>
      <c r="M22" s="43">
        <f>B22+C22+D22+E22+F22+G22+H22+I22+J22+K22+L22</f>
        <v>122646.99999999999</v>
      </c>
    </row>
    <row r="23" spans="1:13" ht="16">
      <c r="A23" s="35" t="s">
        <v>20</v>
      </c>
      <c r="B23" s="41">
        <f>B22+0</f>
        <v>15018.38</v>
      </c>
      <c r="C23" s="41">
        <f>C22+0</f>
        <v>11750.36</v>
      </c>
      <c r="D23" s="41">
        <f>D22+0</f>
        <v>13310.169999999998</v>
      </c>
      <c r="E23" s="41">
        <f>E22+0</f>
        <v>10549.92</v>
      </c>
      <c r="F23" s="41">
        <f>F22+0</f>
        <v>-2067.210000000001</v>
      </c>
      <c r="G23" s="41">
        <f>G22+0</f>
        <v>13416.65</v>
      </c>
      <c r="H23" s="41">
        <f>H22+0</f>
        <v>10667.27</v>
      </c>
      <c r="I23" s="41">
        <f>I22+0</f>
        <v>13868.3</v>
      </c>
      <c r="J23" s="41">
        <f>J22+0</f>
        <v>13737.48</v>
      </c>
      <c r="K23" s="41">
        <f>K22+0</f>
        <v>10450.529999999999</v>
      </c>
      <c r="L23" s="41">
        <f>L22+0</f>
        <v>11945.15</v>
      </c>
      <c r="M23" s="43">
        <f>B23+C23+D23+E23+F23+G23+H23+I23+J23+K23+L23</f>
        <v>122646.99999999999</v>
      </c>
    </row>
    <row r="27" spans="1:1" ht="16">
      <c r="A27" s="44" t="s">
        <v>34</v>
      </c>
    </row>
  </sheetData>
  <mergeCells count="4">
    <mergeCell ref="A1:M1"/>
    <mergeCell ref="A2:M2"/>
    <mergeCell ref="A3:M3"/>
    <mergeCell ref="A27:M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