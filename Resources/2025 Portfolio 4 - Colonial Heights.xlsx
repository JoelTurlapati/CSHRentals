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5" i="1" l="1"/>
</calcChain>
</file>

<file path=xl/sharedStrings.xml><?xml version="1.0" encoding="utf-8"?>
<sst xmlns="http://schemas.openxmlformats.org/spreadsheetml/2006/main" count="37" uniqueCount="37">
  <si>
    <t>SAL Investment Properties</t>
  </si>
  <si>
    <t>Profit and Loss by Class</t>
  </si>
  <si>
    <t>January-December, 2025</t>
  </si>
  <si>
    <t>Income</t>
  </si>
  <si>
    <t>LTR Rents</t>
  </si>
  <si>
    <t>Late Fee collected</t>
  </si>
  <si>
    <t>LTR Cash Receipts</t>
  </si>
  <si>
    <t>Security Deposit Income</t>
  </si>
  <si>
    <t>Total for LTR Rents</t>
  </si>
  <si>
    <t>Total for Income</t>
  </si>
  <si>
    <t>Gross Profit</t>
  </si>
  <si>
    <t>Expenses</t>
  </si>
  <si>
    <t>LTR Expenses</t>
  </si>
  <si>
    <t>Lawncare</t>
  </si>
  <si>
    <t>Pest Control</t>
  </si>
  <si>
    <t>Repair &amp; Maintenance</t>
  </si>
  <si>
    <t>Repair Labor</t>
  </si>
  <si>
    <t>Repair Materials</t>
  </si>
  <si>
    <t>Taxes - Real Estate</t>
  </si>
  <si>
    <t>Total for LTR Expenses</t>
  </si>
  <si>
    <t>Total for Expenses</t>
  </si>
  <si>
    <t>Net Operating Income</t>
  </si>
  <si>
    <t>Net Income</t>
  </si>
  <si>
    <t/>
  </si>
  <si>
    <t>1012 28th st NE</t>
  </si>
  <si>
    <t>1203 25th NE</t>
  </si>
  <si>
    <t>1206 24th st ne</t>
  </si>
  <si>
    <t>1207 colonial</t>
  </si>
  <si>
    <t>1210 25th St.</t>
  </si>
  <si>
    <t>1219 24th st NE</t>
  </si>
  <si>
    <t>1306 22nd St NE</t>
  </si>
  <si>
    <t>1326 24th ne</t>
  </si>
  <si>
    <t>1330 24th ne</t>
  </si>
  <si>
    <t>1335 22nd</t>
  </si>
  <si>
    <t>804 29th St.</t>
  </si>
  <si>
    <t>Total</t>
  </si>
  <si>
    <t>Accrual Basis Tuesday, June 09, 2026 04:42 PM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</si>
</sst>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5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M29"/>
  <sheetViews>
    <sheetView tabSelected="1" workbookViewId="0" topLeftCell="A1"/>
  </sheetViews>
  <sheetFormatPr defaultColWidth="11.255" defaultRowHeight="16"/>
  <cols>
    <col min="1" max="1" width="20.375" style="36" customWidth="1"/>
    <col min="2" max="2" width="13.5" style="36" customWidth="1"/>
    <col min="3" max="3" width="11" style="36" customWidth="1"/>
    <col min="4" max="5" width="16.125" style="36" customWidth="1"/>
    <col min="6" max="6" width="11.75" style="36" customWidth="1"/>
    <col min="7" max="8" width="13.5" style="36" customWidth="1"/>
    <col min="9" max="10" width="11" style="36" customWidth="1"/>
    <col min="11" max="11" width="8.375" style="36" customWidth="1"/>
    <col min="12" max="12" width="11" style="36" customWidth="1"/>
    <col min="13" max="13" width="16.125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13" ht="16">
      <c r="A5" s="38" t="s">
        <v>23</v>
      </c>
      <c r="B5" s="42" t="s">
        <v>24</v>
      </c>
      <c r="C5" s="42" t="s">
        <v>25</v>
      </c>
      <c r="D5" s="42" t="s">
        <v>26</v>
      </c>
      <c r="E5" s="42" t="s">
        <v>27</v>
      </c>
      <c r="F5" s="42" t="s">
        <v>28</v>
      </c>
      <c r="G5" s="42" t="s">
        <v>29</v>
      </c>
      <c r="H5" s="42" t="s">
        <v>30</v>
      </c>
      <c r="I5" s="42" t="s">
        <v>31</v>
      </c>
      <c r="J5" s="42" t="s">
        <v>32</v>
      </c>
      <c r="K5" s="42" t="s">
        <v>33</v>
      </c>
      <c r="L5" s="42" t="s">
        <v>34</v>
      </c>
      <c r="M5" s="42" t="s">
        <v>35</v>
      </c>
    </row>
    <row r="6" spans="1:12" ht="16">
      <c r="A6" s="31" t="s">
        <v>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3" ht="16">
      <c r="A7" s="32" t="s">
        <v>4</v>
      </c>
      <c r="B7" s="40">
        <v>10734.0</v>
      </c>
      <c r="C7" s="40">
        <v>14343.2</v>
      </c>
      <c r="D7" s="40">
        <v>21365.0</v>
      </c>
      <c r="E7" s="40">
        <v>16950.0</v>
      </c>
      <c r="F7" s="40">
        <v>16680.0</v>
      </c>
      <c r="G7" s="40">
        <v>14700.0</v>
      </c>
      <c r="H7" s="40">
        <v>12080.0</v>
      </c>
      <c r="I7" s="40">
        <v>12870.0</v>
      </c>
      <c r="J7" s="40">
        <v>11905.0</v>
      </c>
      <c r="K7" s="40">
        <v>14840.0</v>
      </c>
      <c r="L7" s="40">
        <v>11620.0</v>
      </c>
      <c r="M7" s="40">
        <f>B7+C7+D7+E7+F7+G7+H7+I7+J7+K7+L7</f>
        <v>158087.2</v>
      </c>
    </row>
    <row r="8" spans="1:13" ht="16">
      <c r="A8" s="33" t="s">
        <v>5</v>
      </c>
      <c r="B8" s="40">
        <v>100.0</v>
      </c>
      <c r="C8" s="40">
        <v>50.0</v>
      </c>
      <c r="D8" s="39"/>
      <c r="E8" s="40">
        <v>400.0</v>
      </c>
      <c r="F8" s="40">
        <v>50.0</v>
      </c>
      <c r="G8" s="40">
        <v>330.0</v>
      </c>
      <c r="H8" s="39"/>
      <c r="I8" s="40">
        <v>650.0</v>
      </c>
      <c r="J8" s="40">
        <v>200.0</v>
      </c>
      <c r="K8" s="40">
        <v>50.0</v>
      </c>
      <c r="L8" s="40">
        <v>370.0</v>
      </c>
      <c r="M8" s="40">
        <f>B8+C8+D8+E8+F8+G8+H8+I8+J8+K8+L8</f>
        <v>2200.0</v>
      </c>
    </row>
    <row r="9" spans="1:13" ht="16">
      <c r="A9" s="33" t="s">
        <v>6</v>
      </c>
      <c r="B9" s="40">
        <v>2658.0</v>
      </c>
      <c r="C9" s="39"/>
      <c r="D9" s="39"/>
      <c r="E9" s="40">
        <v>0</v>
      </c>
      <c r="F9" s="40">
        <v>0</v>
      </c>
      <c r="G9" s="40">
        <v>1340.0</v>
      </c>
      <c r="H9" s="39"/>
      <c r="I9" s="40">
        <v>0</v>
      </c>
      <c r="J9" s="40">
        <v>1325.0</v>
      </c>
      <c r="K9" s="39"/>
      <c r="L9" s="40">
        <v>5800.0</v>
      </c>
      <c r="M9" s="40">
        <f>B9+C9+D9+E9+F9+G9+H9+I9+J9+K9+L9</f>
        <v>11123.0</v>
      </c>
    </row>
    <row r="10" spans="1:13" ht="16">
      <c r="A10" s="33" t="s">
        <v>7</v>
      </c>
      <c r="B10" s="40">
        <v>1700.0</v>
      </c>
      <c r="C10" s="39"/>
      <c r="D10" s="39"/>
      <c r="E10" s="39"/>
      <c r="F10" s="39"/>
      <c r="G10" s="39"/>
      <c r="H10" s="40">
        <v>500.0</v>
      </c>
      <c r="I10" s="39"/>
      <c r="J10" s="40">
        <v>1920.0</v>
      </c>
      <c r="K10" s="39"/>
      <c r="L10" s="39"/>
      <c r="M10" s="40">
        <f>B10+C10+D10+E10+F10+G10+H10+I10+J10+K10+L10</f>
        <v>4120.0</v>
      </c>
    </row>
    <row r="11" spans="1:13" ht="16">
      <c r="A11" s="34" t="s">
        <v>8</v>
      </c>
      <c r="B11" s="41">
        <f>B7+B8+B9+B10</f>
        <v>15192.0</v>
      </c>
      <c r="C11" s="41">
        <f>C7+C8+C9+C10</f>
        <v>14393.2</v>
      </c>
      <c r="D11" s="41">
        <f>D7+D8+D9+D10</f>
        <v>21365.0</v>
      </c>
      <c r="E11" s="41">
        <f>E7+E8+E9+E10</f>
        <v>17350.0</v>
      </c>
      <c r="F11" s="41">
        <f>F7+F8+F9+F10</f>
        <v>16730.0</v>
      </c>
      <c r="G11" s="41">
        <f>G7+G8+G9+G10</f>
        <v>16370.0</v>
      </c>
      <c r="H11" s="41">
        <f>H7+H8+H9+H10</f>
        <v>12580.0</v>
      </c>
      <c r="I11" s="41">
        <f>I7+I8+I9+I10</f>
        <v>13520.0</v>
      </c>
      <c r="J11" s="41">
        <f>J7+J8+J9+J10</f>
        <v>15350.0</v>
      </c>
      <c r="K11" s="41">
        <f>K7+K8+K9+K10</f>
        <v>14890.0</v>
      </c>
      <c r="L11" s="41">
        <f>L7+L8+L9+L10</f>
        <v>17790.0</v>
      </c>
      <c r="M11" s="43">
        <f>B11+C11+D11+E11+F11+G11+H11+I11+J11+K11+L11</f>
        <v>175530.2</v>
      </c>
    </row>
    <row r="12" spans="1:13" ht="16">
      <c r="A12" s="35" t="s">
        <v>9</v>
      </c>
      <c r="B12" s="41">
        <f>B6+B11</f>
        <v>15192.0</v>
      </c>
      <c r="C12" s="41">
        <f>C6+C11</f>
        <v>14393.2</v>
      </c>
      <c r="D12" s="41">
        <f>D6+D11</f>
        <v>21365.0</v>
      </c>
      <c r="E12" s="41">
        <f>E6+E11</f>
        <v>17350.0</v>
      </c>
      <c r="F12" s="41">
        <f>F6+F11</f>
        <v>16730.0</v>
      </c>
      <c r="G12" s="41">
        <f>G6+G11</f>
        <v>16370.0</v>
      </c>
      <c r="H12" s="41">
        <f>H6+H11</f>
        <v>12580.0</v>
      </c>
      <c r="I12" s="41">
        <f>I6+I11</f>
        <v>13520.0</v>
      </c>
      <c r="J12" s="41">
        <f>J6+J11</f>
        <v>15350.0</v>
      </c>
      <c r="K12" s="41">
        <f>K6+K11</f>
        <v>14890.0</v>
      </c>
      <c r="L12" s="41">
        <f>L6+L11</f>
        <v>17790.0</v>
      </c>
      <c r="M12" s="43">
        <f>B12+C12+D12+E12+F12+G12+H12+I12+J12+K12+L12</f>
        <v>175530.2</v>
      </c>
    </row>
    <row r="13" spans="1:13" ht="16">
      <c r="A13" s="35" t="s">
        <v>10</v>
      </c>
      <c r="B13" s="41">
        <f>B12-0</f>
        <v>15192.0</v>
      </c>
      <c r="C13" s="41">
        <f>C12-0</f>
        <v>14393.2</v>
      </c>
      <c r="D13" s="41">
        <f>D12-0</f>
        <v>21365.0</v>
      </c>
      <c r="E13" s="41">
        <f>E12-0</f>
        <v>17350.0</v>
      </c>
      <c r="F13" s="41">
        <f>F12-0</f>
        <v>16730.0</v>
      </c>
      <c r="G13" s="41">
        <f>G12-0</f>
        <v>16370.0</v>
      </c>
      <c r="H13" s="41">
        <f>H12-0</f>
        <v>12580.0</v>
      </c>
      <c r="I13" s="41">
        <f>I12-0</f>
        <v>13520.0</v>
      </c>
      <c r="J13" s="41">
        <f>J12-0</f>
        <v>15350.0</v>
      </c>
      <c r="K13" s="41">
        <f>K12-0</f>
        <v>14890.0</v>
      </c>
      <c r="L13" s="41">
        <f>L12-0</f>
        <v>17790.0</v>
      </c>
      <c r="M13" s="43">
        <f>B13+C13+D13+E13+F13+G13+H13+I13+J13+K13+L13</f>
        <v>175530.2</v>
      </c>
    </row>
    <row r="14" spans="1:12" ht="16">
      <c r="A14" s="31" t="s">
        <v>11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13" ht="16">
      <c r="A15" s="32" t="s">
        <v>12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</row>
    <row r="16" spans="1:13" ht="16">
      <c r="A16" s="33" t="s">
        <v>13</v>
      </c>
      <c r="B16" s="39"/>
      <c r="C16" s="39"/>
      <c r="D16" s="39"/>
      <c r="E16" s="39"/>
      <c r="F16" s="39"/>
      <c r="G16" s="39"/>
      <c r="H16" s="40">
        <v>480.0</v>
      </c>
      <c r="I16" s="39"/>
      <c r="J16" s="39"/>
      <c r="K16" s="39"/>
      <c r="L16" s="39"/>
      <c r="M16" s="40">
        <f>B16+C16+D16+E16+F16+G16+H16+I16+J16+K16+L16</f>
        <v>480.0</v>
      </c>
    </row>
    <row r="17" spans="1:13" ht="16">
      <c r="A17" s="33" t="s">
        <v>14</v>
      </c>
      <c r="B17" s="40">
        <v>169.34</v>
      </c>
      <c r="C17" s="40">
        <v>47.93</v>
      </c>
      <c r="D17" s="39"/>
      <c r="E17" s="39"/>
      <c r="F17" s="39"/>
      <c r="G17" s="39"/>
      <c r="H17" s="39"/>
      <c r="I17" s="39"/>
      <c r="J17" s="39"/>
      <c r="K17" s="39"/>
      <c r="L17" s="39"/>
      <c r="M17" s="40">
        <f>B17+C17+D17+E17+F17+G17+H17+I17+J17+K17+L17</f>
        <v>217.27</v>
      </c>
    </row>
    <row r="18" spans="1:13" ht="16">
      <c r="A18" s="33" t="s">
        <v>15</v>
      </c>
      <c r="B18" s="40">
        <v>1012.72</v>
      </c>
      <c r="C18" s="40">
        <v>325.0</v>
      </c>
      <c r="D18" s="39"/>
      <c r="E18" s="40">
        <v>2261.79</v>
      </c>
      <c r="F18" s="39"/>
      <c r="G18" s="39"/>
      <c r="H18" s="40">
        <v>350.0</v>
      </c>
      <c r="I18" s="39"/>
      <c r="J18" s="40">
        <v>60.0</v>
      </c>
      <c r="K18" s="39"/>
      <c r="L18" s="39"/>
      <c r="M18" s="40">
        <f>B18+C18+D18+E18+F18+G18+H18+I18+J18+K18+L18</f>
        <v>4009.51</v>
      </c>
    </row>
    <row r="19" spans="1:13" ht="16">
      <c r="A19" s="33" t="s">
        <v>16</v>
      </c>
      <c r="B19" s="40">
        <v>1691.45</v>
      </c>
      <c r="C19" s="40">
        <v>772.47</v>
      </c>
      <c r="D19" s="40">
        <v>744.0</v>
      </c>
      <c r="E19" s="40">
        <v>3344.82</v>
      </c>
      <c r="F19" s="40">
        <v>601.0</v>
      </c>
      <c r="G19" s="40">
        <v>2025.36</v>
      </c>
      <c r="H19" s="39"/>
      <c r="I19" s="39"/>
      <c r="J19" s="40">
        <v>1774.76</v>
      </c>
      <c r="K19" s="40">
        <v>683.89</v>
      </c>
      <c r="L19" s="40">
        <v>2011.02</v>
      </c>
      <c r="M19" s="40">
        <f>B19+C19+D19+E19+F19+G19+H19+I19+J19+K19+L19</f>
        <v>13648.77</v>
      </c>
    </row>
    <row r="20" spans="1:13" ht="16">
      <c r="A20" s="33" t="s">
        <v>17</v>
      </c>
      <c r="B20" s="39"/>
      <c r="C20" s="39"/>
      <c r="D20" s="40">
        <v>519.61</v>
      </c>
      <c r="E20" s="39"/>
      <c r="F20" s="39"/>
      <c r="G20" s="40">
        <v>997.69</v>
      </c>
      <c r="H20" s="39"/>
      <c r="I20" s="39"/>
      <c r="J20" s="40">
        <v>349.5</v>
      </c>
      <c r="K20" s="39"/>
      <c r="L20" s="40">
        <v>28.69</v>
      </c>
      <c r="M20" s="40">
        <f>B20+C20+D20+E20+F20+G20+H20+I20+J20+K20+L20</f>
        <v>1895.4900000000002</v>
      </c>
    </row>
    <row r="21" spans="1:13" ht="16">
      <c r="A21" s="33" t="s">
        <v>18</v>
      </c>
      <c r="B21" s="40">
        <v>1682.7</v>
      </c>
      <c r="C21" s="40">
        <v>1886.86</v>
      </c>
      <c r="D21" s="40">
        <v>2058.86</v>
      </c>
      <c r="E21" s="40">
        <v>1640.08</v>
      </c>
      <c r="F21" s="40">
        <v>1307.69</v>
      </c>
      <c r="G21" s="40">
        <v>1801.3</v>
      </c>
      <c r="H21" s="40">
        <v>1830.3</v>
      </c>
      <c r="I21" s="40">
        <v>1904.5</v>
      </c>
      <c r="J21" s="40">
        <v>1705.1</v>
      </c>
      <c r="K21" s="40">
        <v>1574.32</v>
      </c>
      <c r="L21" s="40">
        <v>2081.36</v>
      </c>
      <c r="M21" s="40">
        <f>B21+C21+D21+E21+F21+G21+H21+I21+J21+K21+L21</f>
        <v>19473.07</v>
      </c>
    </row>
    <row r="22" spans="1:13" ht="16">
      <c r="A22" s="34" t="s">
        <v>19</v>
      </c>
      <c r="B22" s="41">
        <f>B15+B16+B17+B18+B19+B20+B21</f>
        <v>4556.21</v>
      </c>
      <c r="C22" s="41">
        <f>C15+C16+C17+C18+C19+C20+C21</f>
        <v>3032.26</v>
      </c>
      <c r="D22" s="41">
        <f>D15+D16+D17+D18+D19+D20+D21</f>
        <v>3322.4700000000003</v>
      </c>
      <c r="E22" s="41">
        <f>E15+E16+E17+E18+E19+E20+E21</f>
        <v>7246.6900000000005</v>
      </c>
      <c r="F22" s="41">
        <f>F15+F16+F17+F18+F19+F20+F21</f>
        <v>1908.69</v>
      </c>
      <c r="G22" s="41">
        <f>G15+G16+G17+G18+G19+G20+G21</f>
        <v>4824.35</v>
      </c>
      <c r="H22" s="41">
        <f>H15+H16+H17+H18+H19+H20+H21</f>
        <v>2660.3</v>
      </c>
      <c r="I22" s="41">
        <f>I15+I16+I17+I18+I19+I20+I21</f>
        <v>1904.5</v>
      </c>
      <c r="J22" s="41">
        <f>J15+J16+J17+J18+J19+J20+J21</f>
        <v>3889.36</v>
      </c>
      <c r="K22" s="41">
        <f>K15+K16+K17+K18+K19+K20+K21</f>
        <v>2258.21</v>
      </c>
      <c r="L22" s="41">
        <f>L15+L16+L17+L18+L19+L20+L21</f>
        <v>4121.07</v>
      </c>
      <c r="M22" s="43">
        <f>B22+C22+D22+E22+F22+G22+H22+I22+J22+K22+L22</f>
        <v>39724.10999999999</v>
      </c>
    </row>
    <row r="23" spans="1:13" ht="16">
      <c r="A23" s="35" t="s">
        <v>20</v>
      </c>
      <c r="B23" s="41">
        <f>B14+B22</f>
        <v>4556.21</v>
      </c>
      <c r="C23" s="41">
        <f>C14+C22</f>
        <v>3032.26</v>
      </c>
      <c r="D23" s="41">
        <f>D14+D22</f>
        <v>3322.4700000000003</v>
      </c>
      <c r="E23" s="41">
        <f>E14+E22</f>
        <v>7246.6900000000005</v>
      </c>
      <c r="F23" s="41">
        <f>F14+F22</f>
        <v>1908.69</v>
      </c>
      <c r="G23" s="41">
        <f>G14+G22</f>
        <v>4824.35</v>
      </c>
      <c r="H23" s="41">
        <f>H14+H22</f>
        <v>2660.3</v>
      </c>
      <c r="I23" s="41">
        <f>I14+I22</f>
        <v>1904.5</v>
      </c>
      <c r="J23" s="41">
        <f>J14+J22</f>
        <v>3889.36</v>
      </c>
      <c r="K23" s="41">
        <f>K14+K22</f>
        <v>2258.21</v>
      </c>
      <c r="L23" s="41">
        <f>L14+L22</f>
        <v>4121.07</v>
      </c>
      <c r="M23" s="43">
        <f>B23+C23+D23+E23+F23+G23+H23+I23+J23+K23+L23</f>
        <v>39724.10999999999</v>
      </c>
    </row>
    <row r="24" spans="1:13" ht="16">
      <c r="A24" s="35" t="s">
        <v>21</v>
      </c>
      <c r="B24" s="41">
        <f>B13-B23</f>
        <v>10635.79</v>
      </c>
      <c r="C24" s="41">
        <f>C13-C23</f>
        <v>11360.94</v>
      </c>
      <c r="D24" s="41">
        <f>D13-D23</f>
        <v>18042.53</v>
      </c>
      <c r="E24" s="41">
        <f>E13-E23</f>
        <v>10103.31</v>
      </c>
      <c r="F24" s="41">
        <f>F13-F23</f>
        <v>14821.31</v>
      </c>
      <c r="G24" s="41">
        <f>G13-G23</f>
        <v>11545.65</v>
      </c>
      <c r="H24" s="41">
        <f>H13-H23</f>
        <v>9919.7</v>
      </c>
      <c r="I24" s="41">
        <f>I13-I23</f>
        <v>11615.5</v>
      </c>
      <c r="J24" s="41">
        <f>J13-J23</f>
        <v>11460.64</v>
      </c>
      <c r="K24" s="41">
        <f>K13-K23</f>
        <v>12631.79</v>
      </c>
      <c r="L24" s="41">
        <f>L13-L23</f>
        <v>13668.93</v>
      </c>
      <c r="M24" s="43">
        <f>B24+C24+D24+E24+F24+G24+H24+I24+J24+K24+L24</f>
        <v>135806.09</v>
      </c>
    </row>
    <row r="25" spans="1:13" ht="16">
      <c r="A25" s="35" t="s">
        <v>22</v>
      </c>
      <c r="B25" s="41">
        <f>B24+0</f>
        <v>10635.79</v>
      </c>
      <c r="C25" s="41">
        <f>C24+0</f>
        <v>11360.94</v>
      </c>
      <c r="D25" s="41">
        <f>D24+0</f>
        <v>18042.53</v>
      </c>
      <c r="E25" s="41">
        <f>E24+0</f>
        <v>10103.31</v>
      </c>
      <c r="F25" s="41">
        <f>F24+0</f>
        <v>14821.31</v>
      </c>
      <c r="G25" s="41">
        <f>G24+0</f>
        <v>11545.65</v>
      </c>
      <c r="H25" s="41">
        <f>H24+0</f>
        <v>9919.7</v>
      </c>
      <c r="I25" s="41">
        <f>I24+0</f>
        <v>11615.5</v>
      </c>
      <c r="J25" s="41">
        <f>J24+0</f>
        <v>11460.64</v>
      </c>
      <c r="K25" s="41">
        <f>K24+0</f>
        <v>12631.79</v>
      </c>
      <c r="L25" s="41">
        <f>L24+0</f>
        <v>13668.93</v>
      </c>
      <c r="M25" s="43">
        <f>B25+C25+D25+E25+F25+G25+H25+I25+J25+K25+L25</f>
        <v>135806.09</v>
      </c>
    </row>
    <row r="29" spans="1:1" ht="16">
      <c r="A29" s="44" t="s">
        <v>36</v>
      </c>
    </row>
  </sheetData>
  <mergeCells count="4">
    <mergeCell ref="A1:M1"/>
    <mergeCell ref="A2:M2"/>
    <mergeCell ref="A3:M3"/>
    <mergeCell ref="A29:M2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