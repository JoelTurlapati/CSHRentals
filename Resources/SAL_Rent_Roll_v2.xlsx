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malNallapaneni\Downloads\"/>
    </mc:Choice>
  </mc:AlternateContent>
  <xr:revisionPtr revIDLastSave="0" documentId="13_ncr:1_{EB9C1E24-0F42-4FE2-BFD4-183D92C7127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 Rent 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1" i="1" l="1"/>
  <c r="D71" i="1"/>
  <c r="C71" i="1"/>
  <c r="B71" i="1"/>
  <c r="D69" i="1"/>
  <c r="E66" i="1"/>
  <c r="D66" i="1"/>
  <c r="C66" i="1"/>
  <c r="B66" i="1"/>
  <c r="D65" i="1"/>
  <c r="D64" i="1"/>
  <c r="D63" i="1"/>
  <c r="D62" i="1"/>
  <c r="D61" i="1"/>
  <c r="D60" i="1"/>
  <c r="E57" i="1"/>
  <c r="D57" i="1"/>
  <c r="C57" i="1"/>
  <c r="B57" i="1"/>
  <c r="D56" i="1"/>
  <c r="D55" i="1"/>
  <c r="D54" i="1"/>
  <c r="D53" i="1"/>
  <c r="D52" i="1"/>
  <c r="D51" i="1"/>
  <c r="D50" i="1"/>
  <c r="D49" i="1"/>
  <c r="D48" i="1"/>
  <c r="D47" i="1"/>
  <c r="D46" i="1"/>
  <c r="E43" i="1"/>
  <c r="D43" i="1"/>
  <c r="C43" i="1"/>
  <c r="B43" i="1"/>
  <c r="D42" i="1"/>
  <c r="D41" i="1"/>
  <c r="D40" i="1"/>
  <c r="D39" i="1"/>
  <c r="D38" i="1"/>
  <c r="D37" i="1"/>
  <c r="D36" i="1"/>
  <c r="D35" i="1"/>
  <c r="D34" i="1"/>
  <c r="D33" i="1"/>
  <c r="D32" i="1"/>
  <c r="E29" i="1"/>
  <c r="D29" i="1"/>
  <c r="C29" i="1"/>
  <c r="B29" i="1"/>
  <c r="D28" i="1"/>
  <c r="D27" i="1"/>
  <c r="D26" i="1"/>
  <c r="D25" i="1"/>
  <c r="D24" i="1"/>
  <c r="D23" i="1"/>
  <c r="D22" i="1"/>
  <c r="D21" i="1"/>
  <c r="D20" i="1"/>
  <c r="D19" i="1"/>
  <c r="D18" i="1"/>
  <c r="D17" i="1"/>
  <c r="E14" i="1"/>
  <c r="D14" i="1"/>
  <c r="C14" i="1"/>
  <c r="B14" i="1"/>
  <c r="D13" i="1"/>
  <c r="D12" i="1"/>
  <c r="D11" i="1"/>
  <c r="D10" i="1"/>
</calcChain>
</file>

<file path=xl/sharedStrings.xml><?xml version="1.0" encoding="utf-8"?>
<sst xmlns="http://schemas.openxmlformats.org/spreadsheetml/2006/main" count="71" uniqueCount="69">
  <si>
    <t>SAL Investment Properties</t>
  </si>
  <si>
    <t>Rent Roll by Portfolio  —  2025</t>
  </si>
  <si>
    <t>Property Value  |  Current Monthly Rent  |  Annualized @ 100% Occupancy  |  Actual 2025 Rent Collected</t>
  </si>
  <si>
    <t>Total Portfolio Value</t>
  </si>
  <si>
    <t>Annualized @ 100%</t>
  </si>
  <si>
    <t>Actual 2025 Collected
$707,208
($43,692 vacancy gap)</t>
  </si>
  <si>
    <t>Property</t>
  </si>
  <si>
    <t>Property Value</t>
  </si>
  <si>
    <t>Monthly Rent</t>
  </si>
  <si>
    <t>Actual 2025 Collected</t>
  </si>
  <si>
    <t xml:space="preserve">  Portfolio 1 - McKinley Presidential Library &amp; Museum  —  4 properties</t>
  </si>
  <si>
    <t>635 Greenfield Ave SW</t>
  </si>
  <si>
    <t>2923 Helen Pl NW</t>
  </si>
  <si>
    <t>307 Bellflower Ave NW</t>
  </si>
  <si>
    <t>2945 15th St NW</t>
  </si>
  <si>
    <t xml:space="preserve">  Portfolio 1 Total</t>
  </si>
  <si>
    <t xml:space="preserve">  Portfolio 2 - Malone University / Pro Football Hall of Fame Area 1  —  12 properties</t>
  </si>
  <si>
    <t>806 23rd St NW</t>
  </si>
  <si>
    <t>2007 Kirk Ct NW</t>
  </si>
  <si>
    <t>818 25th St NW</t>
  </si>
  <si>
    <t>519 21st St NW</t>
  </si>
  <si>
    <t>523 21st St NW</t>
  </si>
  <si>
    <t>1430 19th St NW</t>
  </si>
  <si>
    <t>1919 Frazer Ave NW</t>
  </si>
  <si>
    <t>1708 18th St NW</t>
  </si>
  <si>
    <t>1734 Woodland Ave NW</t>
  </si>
  <si>
    <t>2211 Myrtle Ave NW</t>
  </si>
  <si>
    <t>800 22nd St NW</t>
  </si>
  <si>
    <t>725 22nd St NW</t>
  </si>
  <si>
    <t xml:space="preserve">  Portfolio 2 Total</t>
  </si>
  <si>
    <t xml:space="preserve">  Portfolio 3 - Malone University / Pro Football Hall of Fame Area 2  —  11 properties</t>
  </si>
  <si>
    <t>1338 25th St NW</t>
  </si>
  <si>
    <t>1344 24th St NW</t>
  </si>
  <si>
    <t>1540 Norwood Pl NW</t>
  </si>
  <si>
    <t>1507 Ridgeway Pl NW</t>
  </si>
  <si>
    <t>1569 25th St NW</t>
  </si>
  <si>
    <t>1600 27th St NW</t>
  </si>
  <si>
    <t>1701 27th St NW</t>
  </si>
  <si>
    <t>1341 Ridgeway Pl NW</t>
  </si>
  <si>
    <t>1611 25th St NW</t>
  </si>
  <si>
    <t>1502 37th St NW</t>
  </si>
  <si>
    <t>1511 23rd St NW</t>
  </si>
  <si>
    <t xml:space="preserve">  Portfolio 3 Total</t>
  </si>
  <si>
    <t xml:space="preserve">  Portfolio 4 - Colonial Heights  —  11 properties</t>
  </si>
  <si>
    <t>1210 25th St NE</t>
  </si>
  <si>
    <t>1207 Colonial Blvd NE</t>
  </si>
  <si>
    <t>1335 22nd St NE</t>
  </si>
  <si>
    <t>1206 24th St NE</t>
  </si>
  <si>
    <t>1012 28th St NE</t>
  </si>
  <si>
    <t>1219 24th St NE</t>
  </si>
  <si>
    <t>1330 24th St NE</t>
  </si>
  <si>
    <t>804 29th St NE</t>
  </si>
  <si>
    <t>1326 24th St NE</t>
  </si>
  <si>
    <t>1203 25th St NE</t>
  </si>
  <si>
    <t>1306 22nd St NE</t>
  </si>
  <si>
    <t xml:space="preserve">  Portfolio 4 Total</t>
  </si>
  <si>
    <t xml:space="preserve">  Portfolio 5 - High-End Portfolio  —  6 properties</t>
  </si>
  <si>
    <t>426 Vince Ave NW</t>
  </si>
  <si>
    <t>244 Harter Ave NW</t>
  </si>
  <si>
    <t>300 Montrose Ave NW</t>
  </si>
  <si>
    <t>2631 Demington Ave NW</t>
  </si>
  <si>
    <t>1103 22nd St NW</t>
  </si>
  <si>
    <t>225 Grandview Ave NW</t>
  </si>
  <si>
    <t xml:space="preserve">  Portfolio 5 Total</t>
  </si>
  <si>
    <t xml:space="preserve">  Premium Individual Properties  —  2 properties</t>
  </si>
  <si>
    <t>903 23rd St NW</t>
  </si>
  <si>
    <t>5192 University Ave</t>
  </si>
  <si>
    <t>—</t>
  </si>
  <si>
    <t xml:space="preserve">  Premium Individual Properties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</si>
</sst>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18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2B2B2B"/>
      <name val="Arial"/>
      <charset val="1"/>
    </font>
    <font>
      <b/>
      <sz val="9"/>
      <color rgb="FFFFFFFF"/>
      <name val="Arial"/>
      <charset val="1"/>
    </font>
    <font>
      <b/>
      <sz val="12"/>
      <color rgb="FF2B2B2B"/>
      <name val="Arial"/>
      <charset val="1"/>
    </font>
    <font>
      <b/>
      <sz val="10"/>
      <color rgb="FFFFFFFF"/>
      <name val="Arial"/>
      <charset val="1"/>
    </font>
    <font>
      <b/>
      <sz val="10"/>
      <color rgb="FF0C447C"/>
      <name val="Arial"/>
      <charset val="1"/>
    </font>
    <font>
      <sz val="10"/>
      <color rgb="FF2B2B2B"/>
      <name val="Arial"/>
      <charset val="1"/>
    </font>
    <font>
      <sz val="10"/>
      <color rgb="FF0000FF"/>
      <name val="Arial"/>
      <charset val="1"/>
    </font>
    <font>
      <b/>
      <sz val="10"/>
      <color rgb="FF085041"/>
      <name val="Arial"/>
      <charset val="1"/>
    </font>
    <font>
      <b/>
      <sz val="10"/>
      <color rgb="FF633806"/>
      <name val="Arial"/>
      <charset val="1"/>
    </font>
    <font>
      <b/>
      <sz val="10"/>
      <color rgb="FF72243E"/>
      <name val="Arial"/>
      <charset val="1"/>
    </font>
    <font>
      <b/>
      <sz val="10"/>
      <color rgb="FF3C3489"/>
      <name val="Arial"/>
      <charset val="1"/>
    </font>
    <font>
      <b/>
      <sz val="10"/>
      <color rgb="FF27500A"/>
      <name val="Arial"/>
      <charset val="1"/>
    </font>
    <font>
      <sz val="10"/>
      <color rgb="FF999999"/>
      <name val="Arial"/>
      <charset val="1"/>
    </font>
    <font>
      <b/>
      <sz val="10"/>
      <color rgb="FF2B2B2B"/>
      <name val="Arial"/>
      <charset val="1"/>
    </font>
    <font>
      <b/>
      <sz val="10"/>
      <color rgb="FF856404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A4A5A"/>
        <bgColor rgb="FF085041"/>
      </patternFill>
    </fill>
    <fill>
      <patternFill patternType="solid">
        <fgColor rgb="FF2D7A8A"/>
        <bgColor rgb="FF339966"/>
      </patternFill>
    </fill>
    <fill>
      <patternFill patternType="solid">
        <fgColor rgb="FFE8F4F8"/>
        <bgColor rgb="FFE6F1FB"/>
      </patternFill>
    </fill>
    <fill>
      <patternFill patternType="solid">
        <fgColor rgb="FFF0F0F0"/>
        <bgColor rgb="FFF5F5F5"/>
      </patternFill>
    </fill>
    <fill>
      <patternFill patternType="solid">
        <fgColor rgb="FFA07C10"/>
        <bgColor rgb="FF856404"/>
      </patternFill>
    </fill>
    <fill>
      <patternFill patternType="solid">
        <fgColor rgb="FFE6F1FB"/>
        <bgColor rgb="FFE8F4F8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0F0F0"/>
      </patternFill>
    </fill>
    <fill>
      <patternFill patternType="solid">
        <fgColor rgb="FFE0E0E0"/>
        <bgColor rgb="FFEAF3DE"/>
      </patternFill>
    </fill>
    <fill>
      <patternFill patternType="solid">
        <fgColor rgb="FFE1F5EE"/>
        <bgColor rgb="FFE8F4F8"/>
      </patternFill>
    </fill>
    <fill>
      <patternFill patternType="solid">
        <fgColor rgb="FFFAEEDA"/>
        <bgColor rgb="FFFFF3CD"/>
      </patternFill>
    </fill>
    <fill>
      <patternFill patternType="solid">
        <fgColor rgb="FFFBEAF0"/>
        <bgColor rgb="FFF0F0F0"/>
      </patternFill>
    </fill>
    <fill>
      <patternFill patternType="solid">
        <fgColor rgb="FFEEEDFE"/>
        <bgColor rgb="FFF0F0F0"/>
      </patternFill>
    </fill>
    <fill>
      <patternFill patternType="solid">
        <fgColor rgb="FFEAF3DE"/>
        <bgColor rgb="FFF0F0F0"/>
      </patternFill>
    </fill>
    <fill>
      <patternFill patternType="solid">
        <fgColor rgb="FFFFF3CD"/>
        <bgColor rgb="FFFAEE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4" fillId="15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12" fillId="13" borderId="0" xfId="0" applyFont="1" applyFill="1" applyAlignment="1">
      <alignment horizontal="left" vertical="center"/>
    </xf>
    <xf numFmtId="0" fontId="11" fillId="12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indent="2"/>
    </xf>
    <xf numFmtId="164" fontId="9" fillId="8" borderId="0" xfId="0" applyNumberFormat="1" applyFont="1" applyFill="1" applyAlignment="1">
      <alignment horizontal="right" vertical="center"/>
    </xf>
    <xf numFmtId="164" fontId="8" fillId="8" borderId="0" xfId="0" applyNumberFormat="1" applyFont="1" applyFill="1" applyAlignment="1">
      <alignment horizontal="right" vertical="center"/>
    </xf>
    <xf numFmtId="0" fontId="8" fillId="9" borderId="0" xfId="0" applyFont="1" applyFill="1" applyAlignment="1">
      <alignment horizontal="left" vertical="center" indent="2"/>
    </xf>
    <xf numFmtId="164" fontId="9" fillId="9" borderId="0" xfId="0" applyNumberFormat="1" applyFont="1" applyFill="1" applyAlignment="1">
      <alignment horizontal="right" vertical="center"/>
    </xf>
    <xf numFmtId="164" fontId="8" fillId="9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right" vertical="center"/>
    </xf>
    <xf numFmtId="0" fontId="0" fillId="10" borderId="0" xfId="0" applyFill="1"/>
    <xf numFmtId="0" fontId="15" fillId="8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right" vertical="center"/>
    </xf>
    <xf numFmtId="0" fontId="16" fillId="16" borderId="0" xfId="0" applyFont="1" applyFill="1" applyAlignment="1">
      <alignment horizontal="left" vertical="center"/>
    </xf>
    <xf numFmtId="0" fontId="0" fillId="16" borderId="0" xfId="0" applyFill="1"/>
    <xf numFmtId="164" fontId="17" fillId="16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07C10"/>
      <rgbColor rgb="FF800080"/>
      <rgbColor rgb="FF2D7A8A"/>
      <rgbColor rgb="FFE6F1FB"/>
      <rgbColor rgb="FF856404"/>
      <rgbColor rgb="FF9999FF"/>
      <rgbColor rgb="FF72243E"/>
      <rgbColor rgb="FFFFF3CD"/>
      <rgbColor rgb="FFE1F5EE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1A4A5A"/>
      <rgbColor rgb="FF0000FF"/>
      <rgbColor rgb="FF00CCFF"/>
      <rgbColor rgb="FFE8F4F8"/>
      <rgbColor rgb="FFEAF3DE"/>
      <rgbColor rgb="FFFAEEDA"/>
      <rgbColor rgb="FFEEEDFE"/>
      <rgbColor rgb="FFF0F0F0"/>
      <rgbColor rgb="FFF5F5F5"/>
      <rgbColor rgb="FFFBEAF0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C447C"/>
      <rgbColor rgb="FF339966"/>
      <rgbColor rgb="FF085041"/>
      <rgbColor rgb="FF27500A"/>
      <rgbColor rgb="FF633806"/>
      <rgbColor rgb="FF993366"/>
      <rgbColor rgb="FF3C3489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zoomScaleNormal="100" workbookViewId="0">
      <pane ySplit="8" topLeftCell="A9" activePane="bottomLeft" state="frozen"/>
      <selection pane="bottomLeft" activeCell="G8" sqref="G8"/>
    </sheetView>
  </sheetViews>
  <sheetFormatPr defaultColWidth="8.6640625" defaultRowHeight="14.4" x14ac:dyDescent="0.3"/>
  <cols>
    <col min="1" max="1" width="32" customWidth="1"/>
    <col min="2" max="2" width="15" customWidth="1"/>
    <col min="3" max="3" width="14" customWidth="1"/>
    <col min="4" max="4" width="18" customWidth="1"/>
    <col min="5" max="5" width="20" customWidth="1"/>
  </cols>
  <sheetData>
    <row r="1" spans="1:5" ht="27.75" customHeight="1" x14ac:dyDescent="0.3">
      <c r="A1" s="13" t="s">
        <v>0</v>
      </c>
      <c r="B1" s="13"/>
      <c r="C1" s="13"/>
      <c r="D1" s="13"/>
      <c r="E1" s="13"/>
    </row>
    <row r="2" spans="1:5" ht="19.5" customHeight="1" x14ac:dyDescent="0.3">
      <c r="A2" s="12" t="s">
        <v>1</v>
      </c>
      <c r="B2" s="12"/>
      <c r="C2" s="12"/>
      <c r="D2" s="12"/>
      <c r="E2" s="12"/>
    </row>
    <row r="3" spans="1:5" ht="13.5" customHeight="1" x14ac:dyDescent="0.3">
      <c r="A3" s="11" t="s">
        <v>2</v>
      </c>
      <c r="B3" s="11"/>
      <c r="C3" s="11"/>
      <c r="D3" s="11"/>
      <c r="E3" s="11"/>
    </row>
    <row r="4" spans="1:5" ht="6" customHeight="1" x14ac:dyDescent="0.3"/>
    <row r="5" spans="1:5" ht="19.5" customHeight="1" x14ac:dyDescent="0.3">
      <c r="A5" s="10" t="s">
        <v>3</v>
      </c>
      <c r="B5" s="9">
        <v>7099200</v>
      </c>
      <c r="C5" s="8" t="s">
        <v>4</v>
      </c>
      <c r="D5" s="9">
        <v>750900</v>
      </c>
      <c r="E5" s="7" t="s">
        <v>5</v>
      </c>
    </row>
    <row r="6" spans="1:5" ht="19.5" customHeight="1" x14ac:dyDescent="0.3">
      <c r="A6" s="10"/>
      <c r="B6" s="10"/>
      <c r="C6" s="10"/>
      <c r="D6" s="10"/>
      <c r="E6" s="10"/>
    </row>
    <row r="7" spans="1:5" ht="7.5" customHeight="1" x14ac:dyDescent="0.3"/>
    <row r="8" spans="1:5" ht="27.75" customHeight="1" x14ac:dyDescent="0.3">
      <c r="A8" s="14" t="s">
        <v>6</v>
      </c>
      <c r="B8" s="15" t="s">
        <v>7</v>
      </c>
      <c r="C8" s="15" t="s">
        <v>8</v>
      </c>
      <c r="D8" s="15" t="s">
        <v>4</v>
      </c>
      <c r="E8" s="15" t="s">
        <v>9</v>
      </c>
    </row>
    <row r="9" spans="1:5" ht="19.5" customHeight="1" x14ac:dyDescent="0.3">
      <c r="A9" s="6" t="s">
        <v>10</v>
      </c>
      <c r="B9" s="6"/>
      <c r="C9" s="6"/>
      <c r="D9" s="6"/>
      <c r="E9" s="6"/>
    </row>
    <row r="10" spans="1:5" ht="15.75" customHeight="1" x14ac:dyDescent="0.3">
      <c r="A10" s="16" t="s">
        <v>11</v>
      </c>
      <c r="B10" s="17">
        <v>95000</v>
      </c>
      <c r="C10" s="17">
        <v>1200</v>
      </c>
      <c r="D10" s="18">
        <f>C10*12</f>
        <v>14400</v>
      </c>
      <c r="E10" s="17">
        <v>14500</v>
      </c>
    </row>
    <row r="11" spans="1:5" ht="15.75" customHeight="1" x14ac:dyDescent="0.3">
      <c r="A11" s="19" t="s">
        <v>12</v>
      </c>
      <c r="B11" s="20">
        <v>175000</v>
      </c>
      <c r="C11" s="20">
        <v>1350</v>
      </c>
      <c r="D11" s="21">
        <f>C11*12</f>
        <v>16200</v>
      </c>
      <c r="E11" s="20">
        <v>16230</v>
      </c>
    </row>
    <row r="12" spans="1:5" ht="15.75" customHeight="1" x14ac:dyDescent="0.3">
      <c r="A12" s="16" t="s">
        <v>13</v>
      </c>
      <c r="B12" s="17">
        <v>160000</v>
      </c>
      <c r="C12" s="17">
        <v>1375</v>
      </c>
      <c r="D12" s="18">
        <f>C12*12</f>
        <v>16500</v>
      </c>
      <c r="E12" s="17">
        <v>12575</v>
      </c>
    </row>
    <row r="13" spans="1:5" ht="15.75" customHeight="1" x14ac:dyDescent="0.3">
      <c r="A13" s="19" t="s">
        <v>14</v>
      </c>
      <c r="B13" s="20">
        <v>160000</v>
      </c>
      <c r="C13" s="20">
        <v>1300</v>
      </c>
      <c r="D13" s="21">
        <f>C13*12</f>
        <v>15600</v>
      </c>
      <c r="E13" s="20">
        <v>15600</v>
      </c>
    </row>
    <row r="14" spans="1:5" ht="18" customHeight="1" x14ac:dyDescent="0.3">
      <c r="A14" s="22" t="s">
        <v>15</v>
      </c>
      <c r="B14" s="23">
        <f>SUM(B10:B13)</f>
        <v>590000</v>
      </c>
      <c r="C14" s="23">
        <f>SUM(C10:C13)</f>
        <v>5225</v>
      </c>
      <c r="D14" s="23">
        <f>SUMPRODUCT((ISNUMBER(C10:C13))*C10:C13*12)</f>
        <v>62700</v>
      </c>
      <c r="E14" s="23">
        <f>SUM(E10:E13)</f>
        <v>58905</v>
      </c>
    </row>
    <row r="15" spans="1:5" ht="4.5" customHeight="1" x14ac:dyDescent="0.3">
      <c r="A15" s="24"/>
      <c r="B15" s="24"/>
      <c r="C15" s="24"/>
      <c r="D15" s="24"/>
      <c r="E15" s="24"/>
    </row>
    <row r="16" spans="1:5" ht="19.5" customHeight="1" x14ac:dyDescent="0.3">
      <c r="A16" s="5" t="s">
        <v>16</v>
      </c>
      <c r="B16" s="5"/>
      <c r="C16" s="5"/>
      <c r="D16" s="5"/>
      <c r="E16" s="5"/>
    </row>
    <row r="17" spans="1:5" ht="15.75" customHeight="1" x14ac:dyDescent="0.3">
      <c r="A17" s="19" t="s">
        <v>17</v>
      </c>
      <c r="B17" s="20">
        <v>131000</v>
      </c>
      <c r="C17" s="20">
        <v>1200</v>
      </c>
      <c r="D17" s="21">
        <f t="shared" ref="D17:D28" si="0">C17*12</f>
        <v>14400</v>
      </c>
      <c r="E17" s="20">
        <v>14400</v>
      </c>
    </row>
    <row r="18" spans="1:5" ht="15.75" customHeight="1" x14ac:dyDescent="0.3">
      <c r="A18" s="16" t="s">
        <v>18</v>
      </c>
      <c r="B18" s="17">
        <v>140000</v>
      </c>
      <c r="C18" s="17">
        <v>1350</v>
      </c>
      <c r="D18" s="18">
        <f t="shared" si="0"/>
        <v>16200</v>
      </c>
      <c r="E18" s="17">
        <v>13500</v>
      </c>
    </row>
    <row r="19" spans="1:5" ht="15.75" customHeight="1" x14ac:dyDescent="0.3">
      <c r="A19" s="19" t="s">
        <v>19</v>
      </c>
      <c r="B19" s="20">
        <v>150000</v>
      </c>
      <c r="C19" s="20">
        <v>1250</v>
      </c>
      <c r="D19" s="21">
        <f t="shared" si="0"/>
        <v>15000</v>
      </c>
      <c r="E19" s="20">
        <v>15000</v>
      </c>
    </row>
    <row r="20" spans="1:5" ht="15.75" customHeight="1" x14ac:dyDescent="0.3">
      <c r="A20" s="16" t="s">
        <v>20</v>
      </c>
      <c r="B20" s="17">
        <v>140000</v>
      </c>
      <c r="C20" s="17">
        <v>1385</v>
      </c>
      <c r="D20" s="18">
        <f t="shared" si="0"/>
        <v>16620</v>
      </c>
      <c r="E20" s="17">
        <v>16620</v>
      </c>
    </row>
    <row r="21" spans="1:5" ht="15.75" customHeight="1" x14ac:dyDescent="0.3">
      <c r="A21" s="19" t="s">
        <v>21</v>
      </c>
      <c r="B21" s="20">
        <v>135000</v>
      </c>
      <c r="C21" s="20">
        <v>1200</v>
      </c>
      <c r="D21" s="21">
        <f t="shared" si="0"/>
        <v>14400</v>
      </c>
      <c r="E21" s="20">
        <v>14400</v>
      </c>
    </row>
    <row r="22" spans="1:5" ht="15.75" customHeight="1" x14ac:dyDescent="0.3">
      <c r="A22" s="16" t="s">
        <v>22</v>
      </c>
      <c r="B22" s="17">
        <v>139500</v>
      </c>
      <c r="C22" s="17">
        <v>1325</v>
      </c>
      <c r="D22" s="18">
        <f t="shared" si="0"/>
        <v>15900</v>
      </c>
      <c r="E22" s="17">
        <v>16100</v>
      </c>
    </row>
    <row r="23" spans="1:5" ht="15.75" customHeight="1" x14ac:dyDescent="0.3">
      <c r="A23" s="19" t="s">
        <v>23</v>
      </c>
      <c r="B23" s="20">
        <v>150000</v>
      </c>
      <c r="C23" s="20">
        <v>1200</v>
      </c>
      <c r="D23" s="21">
        <f t="shared" si="0"/>
        <v>14400</v>
      </c>
      <c r="E23" s="20">
        <v>13360</v>
      </c>
    </row>
    <row r="24" spans="1:5" ht="15.75" customHeight="1" x14ac:dyDescent="0.3">
      <c r="A24" s="16" t="s">
        <v>24</v>
      </c>
      <c r="B24" s="17">
        <v>160000</v>
      </c>
      <c r="C24" s="17">
        <v>1100</v>
      </c>
      <c r="D24" s="18">
        <f t="shared" si="0"/>
        <v>13200</v>
      </c>
      <c r="E24" s="17">
        <v>14540</v>
      </c>
    </row>
    <row r="25" spans="1:5" ht="15.75" customHeight="1" x14ac:dyDescent="0.3">
      <c r="A25" s="19" t="s">
        <v>25</v>
      </c>
      <c r="B25" s="20">
        <v>90000</v>
      </c>
      <c r="C25" s="20">
        <v>1055</v>
      </c>
      <c r="D25" s="21">
        <f t="shared" si="0"/>
        <v>12660</v>
      </c>
      <c r="E25" s="20">
        <v>12100</v>
      </c>
    </row>
    <row r="26" spans="1:5" ht="15.75" customHeight="1" x14ac:dyDescent="0.3">
      <c r="A26" s="16" t="s">
        <v>26</v>
      </c>
      <c r="B26" s="17">
        <v>134500</v>
      </c>
      <c r="C26" s="17">
        <v>1250</v>
      </c>
      <c r="D26" s="18">
        <f t="shared" si="0"/>
        <v>15000</v>
      </c>
      <c r="E26" s="17">
        <v>12800</v>
      </c>
    </row>
    <row r="27" spans="1:5" ht="15.75" customHeight="1" x14ac:dyDescent="0.3">
      <c r="A27" s="19" t="s">
        <v>27</v>
      </c>
      <c r="B27" s="20">
        <v>150000</v>
      </c>
      <c r="C27" s="20">
        <v>1450</v>
      </c>
      <c r="D27" s="21">
        <f t="shared" si="0"/>
        <v>17400</v>
      </c>
      <c r="E27" s="20">
        <v>17400</v>
      </c>
    </row>
    <row r="28" spans="1:5" ht="15.75" customHeight="1" x14ac:dyDescent="0.3">
      <c r="A28" s="16" t="s">
        <v>28</v>
      </c>
      <c r="B28" s="17">
        <v>125000</v>
      </c>
      <c r="C28" s="17">
        <v>1150</v>
      </c>
      <c r="D28" s="18">
        <f t="shared" si="0"/>
        <v>13800</v>
      </c>
      <c r="E28" s="17">
        <v>6865</v>
      </c>
    </row>
    <row r="29" spans="1:5" ht="18" customHeight="1" x14ac:dyDescent="0.3">
      <c r="A29" s="22" t="s">
        <v>29</v>
      </c>
      <c r="B29" s="23">
        <f>SUM(B17:B28)</f>
        <v>1645000</v>
      </c>
      <c r="C29" s="23">
        <f>SUM(C17:C28)</f>
        <v>14915</v>
      </c>
      <c r="D29" s="23">
        <f>SUMPRODUCT((ISNUMBER(C17:C28))*C17:C28*12)</f>
        <v>178980</v>
      </c>
      <c r="E29" s="23">
        <f>SUM(E17:E28)</f>
        <v>167085</v>
      </c>
    </row>
    <row r="30" spans="1:5" ht="4.5" customHeight="1" x14ac:dyDescent="0.3">
      <c r="A30" s="24"/>
      <c r="B30" s="24"/>
      <c r="C30" s="24"/>
      <c r="D30" s="24"/>
      <c r="E30" s="24"/>
    </row>
    <row r="31" spans="1:5" ht="19.5" customHeight="1" x14ac:dyDescent="0.3">
      <c r="A31" s="4" t="s">
        <v>30</v>
      </c>
      <c r="B31" s="4"/>
      <c r="C31" s="4"/>
      <c r="D31" s="4"/>
      <c r="E31" s="4"/>
    </row>
    <row r="32" spans="1:5" ht="15.75" customHeight="1" x14ac:dyDescent="0.3">
      <c r="A32" s="16" t="s">
        <v>31</v>
      </c>
      <c r="B32" s="17">
        <v>148000</v>
      </c>
      <c r="C32" s="17">
        <v>1400</v>
      </c>
      <c r="D32" s="18">
        <f t="shared" ref="D32:D42" si="1">C32*12</f>
        <v>16800</v>
      </c>
      <c r="E32" s="17">
        <v>17000</v>
      </c>
    </row>
    <row r="33" spans="1:5" ht="15.75" customHeight="1" x14ac:dyDescent="0.3">
      <c r="A33" s="19" t="s">
        <v>32</v>
      </c>
      <c r="B33" s="20">
        <v>135000</v>
      </c>
      <c r="C33" s="20">
        <v>1150</v>
      </c>
      <c r="D33" s="21">
        <f t="shared" si="1"/>
        <v>13800</v>
      </c>
      <c r="E33" s="20">
        <v>10850</v>
      </c>
    </row>
    <row r="34" spans="1:5" ht="15.75" customHeight="1" x14ac:dyDescent="0.3">
      <c r="A34" s="16" t="s">
        <v>33</v>
      </c>
      <c r="B34" s="17">
        <v>130000</v>
      </c>
      <c r="C34" s="17">
        <v>1260</v>
      </c>
      <c r="D34" s="18">
        <f t="shared" si="1"/>
        <v>15120</v>
      </c>
      <c r="E34" s="17">
        <v>15120</v>
      </c>
    </row>
    <row r="35" spans="1:5" ht="15.75" customHeight="1" x14ac:dyDescent="0.3">
      <c r="A35" s="19" t="s">
        <v>34</v>
      </c>
      <c r="B35" s="20">
        <v>125000</v>
      </c>
      <c r="C35" s="20">
        <v>1300</v>
      </c>
      <c r="D35" s="21">
        <f t="shared" si="1"/>
        <v>15600</v>
      </c>
      <c r="E35" s="20">
        <v>14638</v>
      </c>
    </row>
    <row r="36" spans="1:5" ht="15.75" customHeight="1" x14ac:dyDescent="0.3">
      <c r="A36" s="16" t="s">
        <v>35</v>
      </c>
      <c r="B36" s="17">
        <v>145000</v>
      </c>
      <c r="C36" s="17">
        <v>1275</v>
      </c>
      <c r="D36" s="18">
        <f t="shared" si="1"/>
        <v>15300</v>
      </c>
      <c r="E36" s="17">
        <v>15300</v>
      </c>
    </row>
    <row r="37" spans="1:5" ht="15.75" customHeight="1" x14ac:dyDescent="0.3">
      <c r="A37" s="19" t="s">
        <v>36</v>
      </c>
      <c r="B37" s="20">
        <v>140900</v>
      </c>
      <c r="C37" s="20">
        <v>1400</v>
      </c>
      <c r="D37" s="21">
        <f t="shared" si="1"/>
        <v>16800</v>
      </c>
      <c r="E37" s="20">
        <v>16800</v>
      </c>
    </row>
    <row r="38" spans="1:5" ht="15.75" customHeight="1" x14ac:dyDescent="0.3">
      <c r="A38" s="16" t="s">
        <v>37</v>
      </c>
      <c r="B38" s="17">
        <v>153000</v>
      </c>
      <c r="C38" s="17">
        <v>1300</v>
      </c>
      <c r="D38" s="18">
        <f t="shared" si="1"/>
        <v>15600</v>
      </c>
      <c r="E38" s="17">
        <v>15175</v>
      </c>
    </row>
    <row r="39" spans="1:5" ht="15.75" customHeight="1" x14ac:dyDescent="0.3">
      <c r="A39" s="19" t="s">
        <v>38</v>
      </c>
      <c r="B39" s="20">
        <v>151000</v>
      </c>
      <c r="C39" s="20">
        <v>1450</v>
      </c>
      <c r="D39" s="21">
        <f t="shared" si="1"/>
        <v>17400</v>
      </c>
      <c r="E39" s="20">
        <v>15120</v>
      </c>
    </row>
    <row r="40" spans="1:5" ht="15.75" customHeight="1" x14ac:dyDescent="0.3">
      <c r="A40" s="16" t="s">
        <v>39</v>
      </c>
      <c r="B40" s="17">
        <v>140000</v>
      </c>
      <c r="C40" s="17">
        <v>1300</v>
      </c>
      <c r="D40" s="18">
        <f t="shared" si="1"/>
        <v>15600</v>
      </c>
      <c r="E40" s="17">
        <v>11400</v>
      </c>
    </row>
    <row r="41" spans="1:5" ht="15.75" customHeight="1" x14ac:dyDescent="0.3">
      <c r="A41" s="19" t="s">
        <v>40</v>
      </c>
      <c r="B41" s="20">
        <v>160000</v>
      </c>
      <c r="C41" s="20">
        <v>1150</v>
      </c>
      <c r="D41" s="21">
        <f t="shared" si="1"/>
        <v>13800</v>
      </c>
      <c r="E41" s="20">
        <v>13500</v>
      </c>
    </row>
    <row r="42" spans="1:5" ht="15.75" customHeight="1" x14ac:dyDescent="0.3">
      <c r="A42" s="16" t="s">
        <v>41</v>
      </c>
      <c r="B42" s="17">
        <v>125000</v>
      </c>
      <c r="C42" s="17">
        <v>1300</v>
      </c>
      <c r="D42" s="18">
        <f t="shared" si="1"/>
        <v>15600</v>
      </c>
      <c r="E42" s="17">
        <v>15600</v>
      </c>
    </row>
    <row r="43" spans="1:5" ht="18" customHeight="1" x14ac:dyDescent="0.3">
      <c r="A43" s="22" t="s">
        <v>42</v>
      </c>
      <c r="B43" s="23">
        <f>SUM(B32:B42)</f>
        <v>1552900</v>
      </c>
      <c r="C43" s="23">
        <f>SUM(C32:C42)</f>
        <v>14285</v>
      </c>
      <c r="D43" s="23">
        <f>SUMPRODUCT((ISNUMBER(C32:C42))*C32:C42*12)</f>
        <v>171420</v>
      </c>
      <c r="E43" s="23">
        <f>SUM(E32:E42)</f>
        <v>160503</v>
      </c>
    </row>
    <row r="44" spans="1:5" ht="4.5" customHeight="1" x14ac:dyDescent="0.3">
      <c r="A44" s="24"/>
      <c r="B44" s="24"/>
      <c r="C44" s="24"/>
      <c r="D44" s="24"/>
      <c r="E44" s="24"/>
    </row>
    <row r="45" spans="1:5" ht="19.5" customHeight="1" x14ac:dyDescent="0.3">
      <c r="A45" s="3" t="s">
        <v>43</v>
      </c>
      <c r="B45" s="3"/>
      <c r="C45" s="3"/>
      <c r="D45" s="3"/>
      <c r="E45" s="3"/>
    </row>
    <row r="46" spans="1:5" ht="15.75" customHeight="1" x14ac:dyDescent="0.3">
      <c r="A46" s="16" t="s">
        <v>44</v>
      </c>
      <c r="B46" s="17">
        <v>150000</v>
      </c>
      <c r="C46" s="17">
        <v>1430</v>
      </c>
      <c r="D46" s="18">
        <f t="shared" ref="D46:D56" si="2">C46*12</f>
        <v>17160</v>
      </c>
      <c r="E46" s="17">
        <v>16660</v>
      </c>
    </row>
    <row r="47" spans="1:5" ht="15.75" customHeight="1" x14ac:dyDescent="0.3">
      <c r="A47" s="19" t="s">
        <v>45</v>
      </c>
      <c r="B47" s="20">
        <v>160000</v>
      </c>
      <c r="C47" s="20">
        <v>1400</v>
      </c>
      <c r="D47" s="21">
        <f t="shared" si="2"/>
        <v>16800</v>
      </c>
      <c r="E47" s="20">
        <v>16950</v>
      </c>
    </row>
    <row r="48" spans="1:5" ht="15.75" customHeight="1" x14ac:dyDescent="0.3">
      <c r="A48" s="16" t="s">
        <v>46</v>
      </c>
      <c r="B48" s="17">
        <v>145000</v>
      </c>
      <c r="C48" s="17">
        <v>1200</v>
      </c>
      <c r="D48" s="18">
        <f t="shared" si="2"/>
        <v>14400</v>
      </c>
      <c r="E48" s="17">
        <v>14840</v>
      </c>
    </row>
    <row r="49" spans="1:5" ht="15.75" customHeight="1" x14ac:dyDescent="0.3">
      <c r="A49" s="19" t="s">
        <v>47</v>
      </c>
      <c r="B49" s="20">
        <v>160000</v>
      </c>
      <c r="C49" s="20">
        <v>1645</v>
      </c>
      <c r="D49" s="21">
        <f t="shared" si="2"/>
        <v>19740</v>
      </c>
      <c r="E49" s="20">
        <v>19700</v>
      </c>
    </row>
    <row r="50" spans="1:5" ht="15.75" customHeight="1" x14ac:dyDescent="0.3">
      <c r="A50" s="16" t="s">
        <v>48</v>
      </c>
      <c r="B50" s="17">
        <v>164000</v>
      </c>
      <c r="C50" s="17">
        <v>1545</v>
      </c>
      <c r="D50" s="18">
        <f t="shared" si="2"/>
        <v>18540</v>
      </c>
      <c r="E50" s="17">
        <v>13392</v>
      </c>
    </row>
    <row r="51" spans="1:5" ht="15.75" customHeight="1" x14ac:dyDescent="0.3">
      <c r="A51" s="19" t="s">
        <v>49</v>
      </c>
      <c r="B51" s="20">
        <v>182000</v>
      </c>
      <c r="C51" s="20">
        <v>1320</v>
      </c>
      <c r="D51" s="21">
        <f t="shared" si="2"/>
        <v>15840</v>
      </c>
      <c r="E51" s="20">
        <v>16040</v>
      </c>
    </row>
    <row r="52" spans="1:5" ht="15.75" customHeight="1" x14ac:dyDescent="0.3">
      <c r="A52" s="16" t="s">
        <v>50</v>
      </c>
      <c r="B52" s="17">
        <v>140000</v>
      </c>
      <c r="C52" s="17">
        <v>1400</v>
      </c>
      <c r="D52" s="18">
        <f t="shared" si="2"/>
        <v>16800</v>
      </c>
      <c r="E52" s="17">
        <v>13250</v>
      </c>
    </row>
    <row r="53" spans="1:5" ht="15.75" customHeight="1" x14ac:dyDescent="0.3">
      <c r="A53" s="19" t="s">
        <v>51</v>
      </c>
      <c r="B53" s="20">
        <v>175000</v>
      </c>
      <c r="C53" s="20">
        <v>1450</v>
      </c>
      <c r="D53" s="21">
        <f t="shared" si="2"/>
        <v>17400</v>
      </c>
      <c r="E53" s="20">
        <v>17420</v>
      </c>
    </row>
    <row r="54" spans="1:5" ht="15.75" customHeight="1" x14ac:dyDescent="0.3">
      <c r="A54" s="16" t="s">
        <v>52</v>
      </c>
      <c r="B54" s="17">
        <v>150000</v>
      </c>
      <c r="C54" s="17">
        <v>1550</v>
      </c>
      <c r="D54" s="18">
        <f t="shared" si="2"/>
        <v>18600</v>
      </c>
      <c r="E54" s="17">
        <v>12870</v>
      </c>
    </row>
    <row r="55" spans="1:5" ht="15.75" customHeight="1" x14ac:dyDescent="0.3">
      <c r="A55" s="19" t="s">
        <v>53</v>
      </c>
      <c r="B55" s="20">
        <v>140000</v>
      </c>
      <c r="C55" s="20">
        <v>1200</v>
      </c>
      <c r="D55" s="21">
        <f t="shared" si="2"/>
        <v>14400</v>
      </c>
      <c r="E55" s="20">
        <v>14343</v>
      </c>
    </row>
    <row r="56" spans="1:5" ht="15.75" customHeight="1" x14ac:dyDescent="0.3">
      <c r="A56" s="16" t="s">
        <v>54</v>
      </c>
      <c r="B56" s="17">
        <v>150000</v>
      </c>
      <c r="C56" s="17">
        <v>1515</v>
      </c>
      <c r="D56" s="18">
        <f t="shared" si="2"/>
        <v>18180</v>
      </c>
      <c r="E56" s="17">
        <v>12080</v>
      </c>
    </row>
    <row r="57" spans="1:5" ht="18" customHeight="1" x14ac:dyDescent="0.3">
      <c r="A57" s="22" t="s">
        <v>55</v>
      </c>
      <c r="B57" s="23">
        <f>SUM(B46:B56)</f>
        <v>1716000</v>
      </c>
      <c r="C57" s="23">
        <f>SUM(C46:C56)</f>
        <v>15655</v>
      </c>
      <c r="D57" s="23">
        <f>SUMPRODUCT((ISNUMBER(C46:C56))*C46:C56*12)</f>
        <v>187860</v>
      </c>
      <c r="E57" s="23">
        <f>SUM(E46:E56)</f>
        <v>167545</v>
      </c>
    </row>
    <row r="58" spans="1:5" ht="4.5" customHeight="1" x14ac:dyDescent="0.3">
      <c r="A58" s="24"/>
      <c r="B58" s="24"/>
      <c r="C58" s="24"/>
      <c r="D58" s="24"/>
      <c r="E58" s="24"/>
    </row>
    <row r="59" spans="1:5" ht="19.5" customHeight="1" x14ac:dyDescent="0.3">
      <c r="A59" s="2" t="s">
        <v>56</v>
      </c>
      <c r="B59" s="2"/>
      <c r="C59" s="2"/>
      <c r="D59" s="2"/>
      <c r="E59" s="2"/>
    </row>
    <row r="60" spans="1:5" ht="15.75" customHeight="1" x14ac:dyDescent="0.3">
      <c r="A60" s="16" t="s">
        <v>57</v>
      </c>
      <c r="B60" s="17">
        <v>160000</v>
      </c>
      <c r="C60" s="17">
        <v>1550</v>
      </c>
      <c r="D60" s="18">
        <f t="shared" ref="D60:D65" si="3">C60*12</f>
        <v>18600</v>
      </c>
      <c r="E60" s="17">
        <v>18600</v>
      </c>
    </row>
    <row r="61" spans="1:5" ht="15.75" customHeight="1" x14ac:dyDescent="0.3">
      <c r="A61" s="19" t="s">
        <v>58</v>
      </c>
      <c r="B61" s="20">
        <v>199000</v>
      </c>
      <c r="C61" s="20">
        <v>1640</v>
      </c>
      <c r="D61" s="21">
        <f t="shared" si="3"/>
        <v>19680</v>
      </c>
      <c r="E61" s="20">
        <v>19540</v>
      </c>
    </row>
    <row r="62" spans="1:5" ht="15.75" customHeight="1" x14ac:dyDescent="0.3">
      <c r="A62" s="16" t="s">
        <v>59</v>
      </c>
      <c r="B62" s="17">
        <v>225000</v>
      </c>
      <c r="C62" s="17">
        <v>2330</v>
      </c>
      <c r="D62" s="18">
        <f t="shared" si="3"/>
        <v>27960</v>
      </c>
      <c r="E62" s="17">
        <v>27800</v>
      </c>
    </row>
    <row r="63" spans="1:5" ht="15.75" customHeight="1" x14ac:dyDescent="0.3">
      <c r="A63" s="19" t="s">
        <v>60</v>
      </c>
      <c r="B63" s="20">
        <v>210000</v>
      </c>
      <c r="C63" s="20">
        <v>2100</v>
      </c>
      <c r="D63" s="21">
        <f t="shared" si="3"/>
        <v>25200</v>
      </c>
      <c r="E63" s="20">
        <v>19350</v>
      </c>
    </row>
    <row r="64" spans="1:5" ht="15.75" customHeight="1" x14ac:dyDescent="0.3">
      <c r="A64" s="16" t="s">
        <v>61</v>
      </c>
      <c r="B64" s="17">
        <v>210000</v>
      </c>
      <c r="C64" s="17">
        <v>1850</v>
      </c>
      <c r="D64" s="18">
        <f t="shared" si="3"/>
        <v>22200</v>
      </c>
      <c r="E64" s="17">
        <v>21600</v>
      </c>
    </row>
    <row r="65" spans="1:5" ht="15.75" customHeight="1" x14ac:dyDescent="0.3">
      <c r="A65" s="19" t="s">
        <v>62</v>
      </c>
      <c r="B65" s="20">
        <v>176300</v>
      </c>
      <c r="C65" s="20">
        <v>1600</v>
      </c>
      <c r="D65" s="21">
        <f t="shared" si="3"/>
        <v>19200</v>
      </c>
      <c r="E65" s="20">
        <v>19400</v>
      </c>
    </row>
    <row r="66" spans="1:5" ht="18" customHeight="1" x14ac:dyDescent="0.3">
      <c r="A66" s="22" t="s">
        <v>63</v>
      </c>
      <c r="B66" s="23">
        <f>SUM(B60:B65)</f>
        <v>1180300</v>
      </c>
      <c r="C66" s="23">
        <f>SUM(C60:C65)</f>
        <v>11070</v>
      </c>
      <c r="D66" s="23">
        <f>SUMPRODUCT((ISNUMBER(C60:C65))*C60:C65*12)</f>
        <v>132840</v>
      </c>
      <c r="E66" s="23">
        <f>SUM(E60:E65)</f>
        <v>126290</v>
      </c>
    </row>
    <row r="67" spans="1:5" ht="4.5" customHeight="1" x14ac:dyDescent="0.3">
      <c r="A67" s="24"/>
      <c r="B67" s="24"/>
      <c r="C67" s="24"/>
      <c r="D67" s="24"/>
      <c r="E67" s="24"/>
    </row>
    <row r="68" spans="1:5" ht="19.5" customHeight="1" x14ac:dyDescent="0.3">
      <c r="A68" s="1" t="s">
        <v>64</v>
      </c>
      <c r="B68" s="1"/>
      <c r="C68" s="1"/>
      <c r="D68" s="1"/>
      <c r="E68" s="1"/>
    </row>
    <row r="69" spans="1:5" ht="15.75" customHeight="1" x14ac:dyDescent="0.3">
      <c r="A69" s="19" t="s">
        <v>65</v>
      </c>
      <c r="B69" s="20">
        <v>135000</v>
      </c>
      <c r="C69" s="20">
        <v>1425</v>
      </c>
      <c r="D69" s="21">
        <f>C69*12</f>
        <v>17100</v>
      </c>
      <c r="E69" s="20">
        <v>5670</v>
      </c>
    </row>
    <row r="70" spans="1:5" ht="15.75" customHeight="1" x14ac:dyDescent="0.3">
      <c r="A70" s="16" t="s">
        <v>66</v>
      </c>
      <c r="B70" s="17">
        <v>280000</v>
      </c>
      <c r="C70" s="25" t="s">
        <v>67</v>
      </c>
      <c r="D70" s="25" t="s">
        <v>67</v>
      </c>
      <c r="E70" s="17">
        <v>21210</v>
      </c>
    </row>
    <row r="71" spans="1:5" ht="18" customHeight="1" x14ac:dyDescent="0.3">
      <c r="A71" s="22" t="s">
        <v>68</v>
      </c>
      <c r="B71" s="23">
        <f>SUM(B69:B70)</f>
        <v>415000</v>
      </c>
      <c r="C71" s="23">
        <f>SUM(C69:C70)</f>
        <v>1425</v>
      </c>
      <c r="D71" s="23">
        <f>SUMIF(C69:C70,"&gt;0",C69:C70)*12</f>
        <v>17100</v>
      </c>
      <c r="E71" s="23">
        <f>SUM(E69:E70)</f>
        <v>26880</v>
      </c>
    </row>
    <row r="72" spans="1:5" ht="4.5" customHeight="1" x14ac:dyDescent="0.3">
      <c r="A72" s="24"/>
      <c r="B72" s="24"/>
      <c r="C72" s="24"/>
      <c r="D72" s="24"/>
      <c r="E72" s="24"/>
    </row>
    <row r="73" spans="1:5" ht="24" customHeight="1" x14ac:dyDescent="0.3">
      <c r="A73" s="26"/>
      <c r="B73" s="27"/>
      <c r="C73" s="27"/>
      <c r="D73" s="27"/>
      <c r="E73" s="27"/>
    </row>
    <row r="74" spans="1:5" ht="18" customHeight="1" x14ac:dyDescent="0.3">
      <c r="A74" s="28"/>
      <c r="B74" s="29"/>
      <c r="C74" s="29"/>
      <c r="D74" s="30"/>
      <c r="E74" s="29"/>
    </row>
  </sheetData>
  <mergeCells count="14">
    <mergeCell ref="A68:E68"/>
    <mergeCell ref="A9:E9"/>
    <mergeCell ref="A16:E16"/>
    <mergeCell ref="A31:E31"/>
    <mergeCell ref="A45:E45"/>
    <mergeCell ref="A59:E59"/>
    <mergeCell ref="A1:E1"/>
    <mergeCell ref="A2:E2"/>
    <mergeCell ref="A3:E3"/>
    <mergeCell ref="A5:A6"/>
    <mergeCell ref="B5:B6"/>
    <mergeCell ref="C5:C6"/>
    <mergeCell ref="D5:D6"/>
    <mergeCell ref="E5:E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 Rent 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Komal Nallapaneni</cp:lastModifiedBy>
  <cp:revision>0</cp:revision>
  <dcterms:created xsi:type="dcterms:W3CDTF">2026-06-09T18:40:13Z</dcterms:created>
  <dcterms:modified xsi:type="dcterms:W3CDTF">2026-06-09T20:28:37Z</dcterms:modified>
  <dc:language>en-US</dc:language>
</cp:coreProperties>
</file>