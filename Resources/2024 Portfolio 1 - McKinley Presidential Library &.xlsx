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<sst xmlns="http://schemas.openxmlformats.org/spreadsheetml/2006/main" count="27" uniqueCount="27">
  <si>
    <t>SAL Investment Properties</t>
  </si>
  <si>
    <t>Profit and Loss by Class</t>
  </si>
  <si>
    <t>January-December, 2024</t>
  </si>
  <si>
    <t>Income</t>
  </si>
  <si>
    <t>LTR Rents</t>
  </si>
  <si>
    <t>Late Fee collected</t>
  </si>
  <si>
    <t>LTR Cash Receipts</t>
  </si>
  <si>
    <t>Security Deposit Income</t>
  </si>
  <si>
    <t>Total for LTR Rents</t>
  </si>
  <si>
    <t>Total for Income</t>
  </si>
  <si>
    <t>Gross Profit</t>
  </si>
  <si>
    <t>Expenses</t>
  </si>
  <si>
    <t>LTR Expenses</t>
  </si>
  <si>
    <t>QuickBooks Payments Fees</t>
  </si>
  <si>
    <t>Repair Labor</t>
  </si>
  <si>
    <t>Taxes - Real Estate</t>
  </si>
  <si>
    <t>Total for LTR Expenses</t>
  </si>
  <si>
    <t>Total for Expenses</t>
  </si>
  <si>
    <t>Net Operating Income</t>
  </si>
  <si>
    <t>Net Income</t>
  </si>
  <si>
    <t/>
  </si>
  <si>
    <t>2923 Helen Pl NW</t>
  </si>
  <si>
    <t>2945 15th ST NW</t>
  </si>
  <si>
    <t>307 Bellflower</t>
  </si>
  <si>
    <t>635 Greenfield</t>
  </si>
  <si>
    <t>Total</t>
  </si>
  <si>
    <t>Accrual Basis Tuesday, June 09, 2026 04:41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</si>
</sst>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5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F26"/>
  <sheetViews>
    <sheetView tabSelected="1" workbookViewId="0" topLeftCell="A1"/>
  </sheetViews>
  <sheetFormatPr defaultColWidth="11.255" defaultRowHeight="16"/>
  <cols>
    <col min="1" max="1" width="21.25" style="36" customWidth="1"/>
    <col min="2" max="2" width="14.375" style="36" customWidth="1"/>
    <col min="3" max="3" width="13.5" style="36" customWidth="1"/>
    <col min="4" max="5" width="12.625" style="36" customWidth="1"/>
    <col min="6" max="6" width="16.12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6" ht="16">
      <c r="A5" s="38" t="s">
        <v>20</v>
      </c>
      <c r="B5" s="42" t="s">
        <v>21</v>
      </c>
      <c r="C5" s="42" t="s">
        <v>22</v>
      </c>
      <c r="D5" s="42" t="s">
        <v>23</v>
      </c>
      <c r="E5" s="42" t="s">
        <v>24</v>
      </c>
      <c r="F5" s="42" t="s">
        <v>25</v>
      </c>
    </row>
    <row r="6" spans="1:5" ht="16">
      <c r="A6" s="31" t="s">
        <v>3</v>
      </c>
      <c r="B6" s="39"/>
      <c r="C6" s="39"/>
      <c r="D6" s="39"/>
      <c r="E6" s="39"/>
    </row>
    <row r="7" spans="1:6" ht="16">
      <c r="A7" s="32" t="s">
        <v>4</v>
      </c>
      <c r="B7" s="40">
        <v>16200.0</v>
      </c>
      <c r="C7" s="40">
        <v>9180.0</v>
      </c>
      <c r="D7" s="40">
        <v>16850.0</v>
      </c>
      <c r="E7" s="40">
        <v>3400.0</v>
      </c>
      <c r="F7" s="40">
        <f>B7+C7+D7+E7</f>
        <v>45630.0</v>
      </c>
    </row>
    <row r="8" spans="1:6" ht="16">
      <c r="A8" s="33" t="s">
        <v>5</v>
      </c>
      <c r="B8" s="40">
        <v>260.0</v>
      </c>
      <c r="C8" s="40">
        <v>130.0</v>
      </c>
      <c r="D8" s="40">
        <v>150.0</v>
      </c>
      <c r="E8" s="40">
        <v>60.0</v>
      </c>
      <c r="F8" s="40">
        <f>B8+C8+D8+E8</f>
        <v>600.0</v>
      </c>
    </row>
    <row r="9" spans="1:6" ht="16">
      <c r="A9" s="33" t="s">
        <v>6</v>
      </c>
      <c r="B9" s="39"/>
      <c r="C9" s="40">
        <v>4413.0</v>
      </c>
      <c r="D9" s="39"/>
      <c r="E9" s="40">
        <v>9983.39</v>
      </c>
      <c r="F9" s="40">
        <f>B9+C9+D9+E9</f>
        <v>14396.39</v>
      </c>
    </row>
    <row r="10" spans="1:6" ht="16">
      <c r="A10" s="33" t="s">
        <v>7</v>
      </c>
      <c r="B10" s="39"/>
      <c r="C10" s="40">
        <v>1300.0</v>
      </c>
      <c r="D10" s="39"/>
      <c r="E10" s="39"/>
      <c r="F10" s="40">
        <f>B10+C10+D10+E10</f>
        <v>1300.0</v>
      </c>
    </row>
    <row r="11" spans="1:6" ht="16">
      <c r="A11" s="34" t="s">
        <v>8</v>
      </c>
      <c r="B11" s="41">
        <f>B7+B8+B9+B10</f>
        <v>16460.0</v>
      </c>
      <c r="C11" s="41">
        <f>C7+C8+C9+C10</f>
        <v>15023.0</v>
      </c>
      <c r="D11" s="41">
        <f>D7+D8+D9+D10</f>
        <v>17000.0</v>
      </c>
      <c r="E11" s="41">
        <f>E7+E8+E9+E10</f>
        <v>13443.39</v>
      </c>
      <c r="F11" s="43">
        <f>B11+C11+D11+E11</f>
        <v>61926.39</v>
      </c>
    </row>
    <row r="12" spans="1:6" ht="16">
      <c r="A12" s="35" t="s">
        <v>9</v>
      </c>
      <c r="B12" s="41">
        <f>B6+B11</f>
        <v>16460.0</v>
      </c>
      <c r="C12" s="41">
        <f>C6+C11</f>
        <v>15023.0</v>
      </c>
      <c r="D12" s="41">
        <f>D6+D11</f>
        <v>17000.0</v>
      </c>
      <c r="E12" s="41">
        <f>E6+E11</f>
        <v>13443.39</v>
      </c>
      <c r="F12" s="43">
        <f>B12+C12+D12+E12</f>
        <v>61926.39</v>
      </c>
    </row>
    <row r="13" spans="1:6" ht="16">
      <c r="A13" s="35" t="s">
        <v>10</v>
      </c>
      <c r="B13" s="41">
        <f>B12-0</f>
        <v>16460.0</v>
      </c>
      <c r="C13" s="41">
        <f>C12-0</f>
        <v>15023.0</v>
      </c>
      <c r="D13" s="41">
        <f>D12-0</f>
        <v>17000.0</v>
      </c>
      <c r="E13" s="41">
        <f>E12-0</f>
        <v>13443.39</v>
      </c>
      <c r="F13" s="43">
        <f>B13+C13+D13+E13</f>
        <v>61926.39</v>
      </c>
    </row>
    <row r="14" spans="1:5" ht="16">
      <c r="A14" s="31" t="s">
        <v>11</v>
      </c>
      <c r="B14" s="39"/>
      <c r="C14" s="39"/>
      <c r="D14" s="39"/>
      <c r="E14" s="39"/>
    </row>
    <row r="15" spans="1:6" ht="16">
      <c r="A15" s="32" t="s">
        <v>12</v>
      </c>
      <c r="B15" s="39"/>
      <c r="C15" s="39"/>
      <c r="D15" s="39"/>
      <c r="E15" s="39"/>
      <c r="F15" s="39"/>
    </row>
    <row r="16" spans="1:6" ht="16">
      <c r="A16" s="33" t="s">
        <v>13</v>
      </c>
      <c r="B16" s="39"/>
      <c r="C16" s="40">
        <v>30.0</v>
      </c>
      <c r="D16" s="39"/>
      <c r="E16" s="39"/>
      <c r="F16" s="40">
        <f>B16+C16+D16+E16</f>
        <v>30.0</v>
      </c>
    </row>
    <row r="17" spans="1:6" ht="16">
      <c r="A17" s="33" t="s">
        <v>14</v>
      </c>
      <c r="B17" s="40">
        <v>1761.83</v>
      </c>
      <c r="C17" s="40">
        <v>5673.54</v>
      </c>
      <c r="D17" s="40">
        <v>3618.36</v>
      </c>
      <c r="E17" s="40">
        <v>2220.0</v>
      </c>
      <c r="F17" s="40">
        <f>B17+C17+D17+E17</f>
        <v>13273.73</v>
      </c>
    </row>
    <row r="18" spans="1:6" ht="16">
      <c r="A18" s="33" t="s">
        <v>15</v>
      </c>
      <c r="B18" s="40">
        <v>2470.19</v>
      </c>
      <c r="C18" s="40">
        <v>2433.41</v>
      </c>
      <c r="D18" s="40">
        <v>1196.14</v>
      </c>
      <c r="E18" s="40">
        <v>750.4</v>
      </c>
      <c r="F18" s="40">
        <f>B18+C18+D18+E18</f>
        <v>6850.14</v>
      </c>
    </row>
    <row r="19" spans="1:6" ht="16">
      <c r="A19" s="34" t="s">
        <v>16</v>
      </c>
      <c r="B19" s="41">
        <f>B15+B16+B17+B18</f>
        <v>4232.02</v>
      </c>
      <c r="C19" s="41">
        <f>C15+C16+C17+C18</f>
        <v>8136.95</v>
      </c>
      <c r="D19" s="41">
        <f>D15+D16+D17+D18</f>
        <v>4814.5</v>
      </c>
      <c r="E19" s="41">
        <f>E15+E16+E17+E18</f>
        <v>2970.4</v>
      </c>
      <c r="F19" s="43">
        <f>B19+C19+D19+E19</f>
        <v>20153.870000000003</v>
      </c>
    </row>
    <row r="20" spans="1:6" ht="16">
      <c r="A20" s="35" t="s">
        <v>17</v>
      </c>
      <c r="B20" s="41">
        <f>B14+B19</f>
        <v>4232.02</v>
      </c>
      <c r="C20" s="41">
        <f>C14+C19</f>
        <v>8136.95</v>
      </c>
      <c r="D20" s="41">
        <f>D14+D19</f>
        <v>4814.5</v>
      </c>
      <c r="E20" s="41">
        <f>E14+E19</f>
        <v>2970.4</v>
      </c>
      <c r="F20" s="43">
        <f>B20+C20+D20+E20</f>
        <v>20153.870000000003</v>
      </c>
    </row>
    <row r="21" spans="1:6" ht="16">
      <c r="A21" s="35" t="s">
        <v>18</v>
      </c>
      <c r="B21" s="41">
        <f>B13-B20</f>
        <v>12227.98</v>
      </c>
      <c r="C21" s="41">
        <f>C13-C20</f>
        <v>6886.05</v>
      </c>
      <c r="D21" s="41">
        <f>D13-D20</f>
        <v>12185.5</v>
      </c>
      <c r="E21" s="41">
        <f>E13-E20</f>
        <v>10472.99</v>
      </c>
      <c r="F21" s="43">
        <f>B21+C21+D21+E21</f>
        <v>41772.52</v>
      </c>
    </row>
    <row r="22" spans="1:6" ht="16">
      <c r="A22" s="35" t="s">
        <v>19</v>
      </c>
      <c r="B22" s="41">
        <f>B21+0</f>
        <v>12227.98</v>
      </c>
      <c r="C22" s="41">
        <f>C21+0</f>
        <v>6886.05</v>
      </c>
      <c r="D22" s="41">
        <f>D21+0</f>
        <v>12185.5</v>
      </c>
      <c r="E22" s="41">
        <f>E21+0</f>
        <v>10472.99</v>
      </c>
      <c r="F22" s="43">
        <f>B22+C22+D22+E22</f>
        <v>41772.52</v>
      </c>
    </row>
    <row r="26" spans="1:1" ht="16">
      <c r="A26" s="44" t="s">
        <v>26</v>
      </c>
    </row>
  </sheetData>
  <mergeCells count="4">
    <mergeCell ref="A1:F1"/>
    <mergeCell ref="A2:F2"/>
    <mergeCell ref="A3:F3"/>
    <mergeCell ref="A26:F2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